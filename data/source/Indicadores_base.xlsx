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se.echave\OneDrive - Secretaría de Economía\"/>
    </mc:Choice>
  </mc:AlternateContent>
  <bookViews>
    <workbookView xWindow="0" yWindow="660" windowWidth="29400" windowHeight="18465" firstSheet="1" activeTab="5"/>
  </bookViews>
  <sheets>
    <sheet name="PIB" sheetId="8" r:id="rId1"/>
    <sheet name="PIB Sectorial" sheetId="13" r:id="rId2"/>
    <sheet name="IGAE" sheetId="9" r:id="rId3"/>
    <sheet name="IMAI" sheetId="14" r:id="rId4"/>
    <sheet name="Exportaciones" sheetId="15" state="hidden" r:id="rId5"/>
    <sheet name="Balanza comercial" sheetId="12" r:id="rId6"/>
    <sheet name="Consumo Privado" sheetId="10" r:id="rId7"/>
    <sheet name="IED" sheetId="2" r:id="rId8"/>
    <sheet name="Tasa de desocupación" sheetId="5" r:id="rId9"/>
    <sheet name="INPC (Inflación)"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15" l="1"/>
  <c r="D35" i="15"/>
  <c r="D23" i="15"/>
  <c r="D24" i="15"/>
  <c r="D25" i="15"/>
  <c r="D26" i="15"/>
  <c r="D27" i="15"/>
  <c r="D28" i="15"/>
  <c r="D29" i="15"/>
  <c r="D30" i="15"/>
  <c r="D31" i="15"/>
  <c r="D32" i="15"/>
  <c r="D33" i="15"/>
  <c r="D30" i="8" l="1"/>
  <c r="D13" i="8"/>
  <c r="D12" i="8"/>
  <c r="D11" i="8"/>
  <c r="D10" i="8"/>
  <c r="F14" i="13"/>
  <c r="F20" i="13"/>
  <c r="F19" i="13"/>
  <c r="F18" i="13"/>
  <c r="F17" i="13"/>
  <c r="F16" i="13"/>
  <c r="F15" i="13"/>
  <c r="F13" i="13"/>
  <c r="F12" i="13"/>
  <c r="F11" i="13"/>
  <c r="F10" i="13"/>
  <c r="F21" i="13"/>
  <c r="F22" i="13"/>
  <c r="D12" i="14" l="1"/>
  <c r="D13" i="14"/>
  <c r="D14" i="14"/>
  <c r="D15" i="14"/>
  <c r="D16" i="14"/>
  <c r="D17" i="14"/>
  <c r="D18" i="14"/>
  <c r="D19" i="14"/>
  <c r="D20" i="14"/>
  <c r="D21" i="14"/>
  <c r="D11" i="14"/>
  <c r="D11" i="10" l="1"/>
  <c r="D12" i="10"/>
  <c r="D13" i="10"/>
  <c r="D14" i="10"/>
  <c r="D15" i="10"/>
  <c r="D16" i="10"/>
  <c r="D17" i="10"/>
  <c r="D18" i="10"/>
  <c r="D19" i="10"/>
  <c r="D20" i="10"/>
  <c r="D21" i="10"/>
  <c r="D14" i="8" l="1"/>
  <c r="D15" i="8"/>
  <c r="D16" i="8"/>
  <c r="D17" i="8"/>
  <c r="D18" i="8"/>
  <c r="D19" i="8"/>
  <c r="D20" i="8"/>
  <c r="D21" i="8"/>
  <c r="D22" i="8"/>
  <c r="D23" i="8"/>
  <c r="D24" i="8"/>
  <c r="D25" i="8"/>
  <c r="D26" i="8"/>
  <c r="D27" i="8"/>
  <c r="D28" i="8"/>
  <c r="D29" i="8"/>
</calcChain>
</file>

<file path=xl/sharedStrings.xml><?xml version="1.0" encoding="utf-8"?>
<sst xmlns="http://schemas.openxmlformats.org/spreadsheetml/2006/main" count="333" uniqueCount="169">
  <si>
    <t>1T-23</t>
  </si>
  <si>
    <t>2T-23</t>
  </si>
  <si>
    <t>3T-23</t>
  </si>
  <si>
    <t>4T-23</t>
  </si>
  <si>
    <t>1T-24</t>
  </si>
  <si>
    <t>2T-24</t>
  </si>
  <si>
    <t>3T-24</t>
  </si>
  <si>
    <t>4T-24</t>
  </si>
  <si>
    <t>1T-25</t>
  </si>
  <si>
    <t>2T-25</t>
  </si>
  <si>
    <t>3T-25</t>
  </si>
  <si>
    <t>4T-25</t>
  </si>
  <si>
    <t>1T-26</t>
  </si>
  <si>
    <t>Var. Anual (%)</t>
  </si>
  <si>
    <t>PIB</t>
  </si>
  <si>
    <t>Mes</t>
  </si>
  <si>
    <t>s</t>
  </si>
  <si>
    <t>1T-21</t>
  </si>
  <si>
    <t>2T-21</t>
  </si>
  <si>
    <t>3T-21</t>
  </si>
  <si>
    <t>4T-21</t>
  </si>
  <si>
    <t>1T-22</t>
  </si>
  <si>
    <t>2T-22</t>
  </si>
  <si>
    <t>3T-22</t>
  </si>
  <si>
    <t>4T-22</t>
  </si>
  <si>
    <t xml:space="preserve">Nombre </t>
  </si>
  <si>
    <t>Descripción</t>
  </si>
  <si>
    <t>Próximo dato</t>
  </si>
  <si>
    <t>Frecuencia</t>
  </si>
  <si>
    <t>Trimestral</t>
  </si>
  <si>
    <t>Publicación</t>
  </si>
  <si>
    <t>Producto Interno Bruto</t>
  </si>
  <si>
    <t>La suma de los valores de mercado de todos los servicios y bienes finales, producidos por los recursos de la economía que residen en el país. Es un concepto de valor agregado, por lo que se contabilizan los bienes finales que se producen para consumo y no los intermedios para el uso de otro bien final.</t>
  </si>
  <si>
    <t>Aproximadamente 50 días después de haber concluido el trimestre</t>
  </si>
  <si>
    <t>Periodo</t>
  </si>
  <si>
    <t>Fuente</t>
  </si>
  <si>
    <t>INEGI 
https://www.inegi.org.mx/app/indicadores/?tm=3#D733671_600917</t>
  </si>
  <si>
    <t>Índice Nacional de Precios al Consumidor (INPC)</t>
  </si>
  <si>
    <t>Mensual</t>
  </si>
  <si>
    <r>
      <t>Mar 26 </t>
    </r>
    <r>
      <rPr>
        <sz val="7"/>
        <color theme="0"/>
        <rFont val="Arial"/>
        <family val="2"/>
      </rPr>
      <t>P</t>
    </r>
  </si>
  <si>
    <r>
      <t xml:space="preserve">Feb 26 </t>
    </r>
    <r>
      <rPr>
        <sz val="7"/>
        <color theme="0"/>
        <rFont val="Arial"/>
        <family val="2"/>
      </rPr>
      <t>R</t>
    </r>
  </si>
  <si>
    <r>
      <t xml:space="preserve">Ene 26 </t>
    </r>
    <r>
      <rPr>
        <sz val="7"/>
        <color theme="0"/>
        <rFont val="Arial"/>
        <family val="2"/>
      </rPr>
      <t>R</t>
    </r>
  </si>
  <si>
    <r>
      <t>May 25 </t>
    </r>
    <r>
      <rPr>
        <sz val="7"/>
        <color theme="0"/>
        <rFont val="Arial"/>
        <family val="2"/>
      </rPr>
      <t>R</t>
    </r>
  </si>
  <si>
    <r>
      <t xml:space="preserve">Jun 25 </t>
    </r>
    <r>
      <rPr>
        <sz val="7"/>
        <color theme="0"/>
        <rFont val="Arial"/>
        <family val="2"/>
      </rPr>
      <t>R</t>
    </r>
  </si>
  <si>
    <r>
      <t xml:space="preserve">Jul 25 </t>
    </r>
    <r>
      <rPr>
        <sz val="7"/>
        <color theme="0"/>
        <rFont val="Arial"/>
        <family val="2"/>
      </rPr>
      <t>R</t>
    </r>
  </si>
  <si>
    <r>
      <t>Ago 25 </t>
    </r>
    <r>
      <rPr>
        <sz val="7"/>
        <color theme="0"/>
        <rFont val="Arial"/>
        <family val="2"/>
      </rPr>
      <t>R</t>
    </r>
  </si>
  <si>
    <r>
      <t>Sep 25 </t>
    </r>
    <r>
      <rPr>
        <sz val="7"/>
        <color theme="0"/>
        <rFont val="Arial"/>
        <family val="2"/>
      </rPr>
      <t>R</t>
    </r>
  </si>
  <si>
    <r>
      <t>Oct 25 </t>
    </r>
    <r>
      <rPr>
        <sz val="7"/>
        <color theme="0"/>
        <rFont val="Arial"/>
        <family val="2"/>
      </rPr>
      <t>R</t>
    </r>
  </si>
  <si>
    <r>
      <t xml:space="preserve">Nov 25 </t>
    </r>
    <r>
      <rPr>
        <sz val="7"/>
        <color theme="0"/>
        <rFont val="Arial"/>
        <family val="2"/>
      </rPr>
      <t>R</t>
    </r>
  </si>
  <si>
    <r>
      <t>Dic 25 </t>
    </r>
    <r>
      <rPr>
        <sz val="7"/>
        <color theme="0"/>
        <rFont val="Arial"/>
        <family val="2"/>
      </rPr>
      <t>R</t>
    </r>
  </si>
  <si>
    <r>
      <t>Abr 25 </t>
    </r>
    <r>
      <rPr>
        <sz val="7"/>
        <color theme="0"/>
        <rFont val="Arial"/>
        <family val="2"/>
      </rPr>
      <t>R</t>
    </r>
  </si>
  <si>
    <t>Cuentas entre compañías</t>
  </si>
  <si>
    <t>IED total</t>
  </si>
  <si>
    <t>Nuevas  Inversiones</t>
  </si>
  <si>
    <t xml:space="preserve">Reinversión de utilidades </t>
  </si>
  <si>
    <t xml:space="preserve"> Registro Nacional de Inversiones Extranjeras (RNIE). Secretaría de Economía</t>
  </si>
  <si>
    <t>Se le conoce como una aproximación al PIB mensual, permitiendo conocer la tendencia de la economía en el corto plazo. Sigue la evolución del sector real de la economía con un diseño similar al PIB, pero con menos información detallada.</t>
  </si>
  <si>
    <t>Aproximadamente 55 días después de haber concluido el mes</t>
  </si>
  <si>
    <t>Indicador Global de Actividad Económica (IGAE)</t>
  </si>
  <si>
    <t>Var. mensual (%)</t>
  </si>
  <si>
    <t>Jun 25</t>
  </si>
  <si>
    <t>Jul 25</t>
  </si>
  <si>
    <t>Nov 25</t>
  </si>
  <si>
    <t>Ene 26</t>
  </si>
  <si>
    <t>Feb 26</t>
  </si>
  <si>
    <t>* Cifras oportunas</t>
  </si>
  <si>
    <t>Mide la trayectoria agregada de los precios de una canasta de bienes y servicios representativa del consumo de las familias mexicanas. Su objetivo principal es cuantificar la inflación, definida como el aumento sostenido y generalizado de los precios a lo largo del tiempo.</t>
  </si>
  <si>
    <t>INEGI 
https://www.inegi.org.mx/temas/inpc/</t>
  </si>
  <si>
    <t>Aproximadamente 21 días después de haber concluido el mes</t>
  </si>
  <si>
    <t>Índice de volumen físico</t>
  </si>
  <si>
    <r>
      <rPr>
        <b/>
        <sz val="10"/>
        <color theme="1"/>
        <rFont val="Noto Sans"/>
        <family val="2"/>
      </rPr>
      <t>Interpretación:</t>
    </r>
    <r>
      <rPr>
        <sz val="10"/>
        <color theme="1"/>
        <rFont val="Noto Sans"/>
        <family val="2"/>
      </rPr>
      <t xml:space="preserve">
El Índice de Volumen Físico mide exclusivamente la cantidad real de bienes y servicios producidos. Este indicador utiliza el promedio de la actividad económica de 2018 como punto de referencia histórico, asignándole un valor base de 100 puntos. En la práctica, cualquier nivel por encima de este umbral refleja un crecimiento estructural: si el índice alcanza los 105 puntos, significa que la economía es un 5% más grande que en su año base; por el contrario, un registro de 98 puntos evidencia una contracción y un rezago del 2% respecto a dicho periodo.</t>
    </r>
  </si>
  <si>
    <r>
      <rPr>
        <b/>
        <sz val="10"/>
        <color theme="1"/>
        <rFont val="Noto Sans"/>
        <family val="2"/>
      </rPr>
      <t>Interpretación:</t>
    </r>
    <r>
      <rPr>
        <sz val="10"/>
        <color theme="1"/>
        <rFont val="Noto Sans"/>
        <family val="2"/>
      </rPr>
      <t xml:space="preserve">
El </t>
    </r>
    <r>
      <rPr>
        <b/>
        <sz val="10"/>
        <color theme="1"/>
        <rFont val="Noto Sans"/>
        <family val="2"/>
      </rPr>
      <t>Índice de Volumen Físico del Consumo Privado (línea verde)</t>
    </r>
    <r>
      <rPr>
        <sz val="10"/>
        <color theme="1"/>
        <rFont val="Noto Sans"/>
        <family val="2"/>
      </rPr>
      <t xml:space="preserve"> mide exclusivamente la cantidad real de bienes y servicios adquiridos por los hogares, eliminando el efecto de la inflación. Este indicador utiliza el promedio del consumo de 2018 como punto de referencia histórico, asignándole un valor base de 100 puntos. A lo largo de todo el periodo analizado, el índice se mantiene sólidamente por encima de este umbral, lo que refleja un nivel de gasto estructuralmente mayor al histórico.
La</t>
    </r>
    <r>
      <rPr>
        <b/>
        <sz val="10"/>
        <color theme="1"/>
        <rFont val="Noto Sans"/>
        <family val="2"/>
      </rPr>
      <t xml:space="preserve"> Variación Mensual (línea dorada) </t>
    </r>
    <r>
      <rPr>
        <sz val="10"/>
        <color theme="1"/>
        <rFont val="Noto Sans"/>
        <family val="2"/>
      </rPr>
      <t>evalúa el ritmo y la dirección del gasto a muy corto plazo, comparando el desempeño de cada mes inmediatamente con el mes anterior. Los porcentajes positivos indican una aceleración en el consumo frente al mes pasado, mientras que los valores negativos reflejan un freno.</t>
    </r>
  </si>
  <si>
    <t>Mide el gasto realizado por los hogares y las instituciones sin fines de lucro que les sirven, tanto para la adquisición de bienes como de servicios.</t>
  </si>
  <si>
    <t>Indicador Mensual de Consumo Privado</t>
  </si>
  <si>
    <t>Finales de junio (oportuno); finales de agosto (definitivo)</t>
  </si>
  <si>
    <t xml:space="preserve">Finales de junio </t>
  </si>
  <si>
    <t>Mediados de agosto</t>
  </si>
  <si>
    <t>Aproximadamente 45 días posteriores al cierre del trimestre</t>
  </si>
  <si>
    <t>Aproximadamente 25-30 días después de haber concluido el mes</t>
  </si>
  <si>
    <t>Exportaciones</t>
  </si>
  <si>
    <t>Importaciones</t>
  </si>
  <si>
    <t xml:space="preserve">Balanza comercial de mercancías de México </t>
  </si>
  <si>
    <t>Es un indicador que registra el valor monetario de las transacciones de bienes físicos entre residentes y no residentes del país, desglosado en exportaciones e importaciones.</t>
  </si>
  <si>
    <t>26 de junio</t>
  </si>
  <si>
    <t>INEGI 
https://www.inegi.org.mx/temas/balanza/#informacion_general</t>
  </si>
  <si>
    <t>Aproximadamente 30 a 45 días posteriores al cierre del mes</t>
  </si>
  <si>
    <t>Ago 25</t>
  </si>
  <si>
    <t>Sep 25</t>
  </si>
  <si>
    <t>Oct 25</t>
  </si>
  <si>
    <t>Dic 25</t>
  </si>
  <si>
    <t>Mar 26</t>
  </si>
  <si>
    <t>Abr 26</t>
  </si>
  <si>
    <t>Mide la proporción de la fuerza de trabajo que se encuentra sin empleo pero en búsqueda activa del mismo. Personas desocupadas: son personas de 15 años o más que no trabajaron en la semana de referencia, estaban disponibles para trabajar y realizaron actividades de búsqueda de empleo en las semanas previas.</t>
  </si>
  <si>
    <t>May 26</t>
  </si>
  <si>
    <t>R = Cifras revisadas</t>
  </si>
  <si>
    <t>P = Cifras preliminares</t>
  </si>
  <si>
    <t>R = cifras revisadas</t>
  </si>
  <si>
    <t>P = cifras preliminares</t>
  </si>
  <si>
    <r>
      <t xml:space="preserve">2T-24 </t>
    </r>
    <r>
      <rPr>
        <b/>
        <sz val="7"/>
        <color theme="0"/>
        <rFont val="Noto Sans"/>
        <family val="2"/>
      </rPr>
      <t>R</t>
    </r>
  </si>
  <si>
    <r>
      <t xml:space="preserve">1T-24 </t>
    </r>
    <r>
      <rPr>
        <b/>
        <sz val="8"/>
        <color theme="0"/>
        <rFont val="Noto Sans"/>
        <family val="2"/>
      </rPr>
      <t>R</t>
    </r>
  </si>
  <si>
    <r>
      <t xml:space="preserve">4T-23 </t>
    </r>
    <r>
      <rPr>
        <b/>
        <sz val="8"/>
        <color theme="0"/>
        <rFont val="Noto Sans"/>
        <family val="2"/>
      </rPr>
      <t>R</t>
    </r>
  </si>
  <si>
    <r>
      <t xml:space="preserve">3T-23 </t>
    </r>
    <r>
      <rPr>
        <b/>
        <sz val="8"/>
        <color theme="0"/>
        <rFont val="Noto Sans"/>
        <family val="2"/>
      </rPr>
      <t>R</t>
    </r>
  </si>
  <si>
    <r>
      <t xml:space="preserve">2T-23 </t>
    </r>
    <r>
      <rPr>
        <b/>
        <sz val="8"/>
        <color theme="0"/>
        <rFont val="Noto Sans"/>
        <family val="2"/>
      </rPr>
      <t>R</t>
    </r>
  </si>
  <si>
    <r>
      <t xml:space="preserve">1T-23 </t>
    </r>
    <r>
      <rPr>
        <b/>
        <sz val="8"/>
        <color theme="0"/>
        <rFont val="Noto Sans"/>
        <family val="2"/>
      </rPr>
      <t>R</t>
    </r>
  </si>
  <si>
    <r>
      <t xml:space="preserve">3T-24 </t>
    </r>
    <r>
      <rPr>
        <b/>
        <sz val="8"/>
        <color theme="0"/>
        <rFont val="Noto Sans"/>
        <family val="2"/>
      </rPr>
      <t>R</t>
    </r>
  </si>
  <si>
    <r>
      <t xml:space="preserve">4T-24 </t>
    </r>
    <r>
      <rPr>
        <b/>
        <sz val="8"/>
        <color theme="0"/>
        <rFont val="Noto Sans"/>
        <family val="2"/>
      </rPr>
      <t>R</t>
    </r>
  </si>
  <si>
    <r>
      <t xml:space="preserve">1T-25 </t>
    </r>
    <r>
      <rPr>
        <b/>
        <sz val="8"/>
        <color theme="0"/>
        <rFont val="Noto Sans"/>
        <family val="2"/>
      </rPr>
      <t>R</t>
    </r>
  </si>
  <si>
    <r>
      <t xml:space="preserve">2T-25 </t>
    </r>
    <r>
      <rPr>
        <b/>
        <sz val="8"/>
        <color theme="0"/>
        <rFont val="Noto Sans"/>
        <family val="2"/>
      </rPr>
      <t>R</t>
    </r>
  </si>
  <si>
    <r>
      <t xml:space="preserve">3T-25 </t>
    </r>
    <r>
      <rPr>
        <b/>
        <sz val="8"/>
        <color theme="0"/>
        <rFont val="Noto Sans"/>
        <family val="2"/>
      </rPr>
      <t>R</t>
    </r>
  </si>
  <si>
    <r>
      <t xml:space="preserve">4T-25 </t>
    </r>
    <r>
      <rPr>
        <b/>
        <sz val="8"/>
        <color theme="0"/>
        <rFont val="Noto Sans"/>
        <family val="2"/>
      </rPr>
      <t>R</t>
    </r>
  </si>
  <si>
    <r>
      <t xml:space="preserve">1T-26 </t>
    </r>
    <r>
      <rPr>
        <b/>
        <sz val="8"/>
        <color theme="0"/>
        <rFont val="Noto Sans"/>
        <family val="2"/>
      </rPr>
      <t>P</t>
    </r>
  </si>
  <si>
    <t>Producto Interno Bruto por actividad económica</t>
  </si>
  <si>
    <t>Primarias</t>
  </si>
  <si>
    <t>Secundarias</t>
  </si>
  <si>
    <t>Terciarias</t>
  </si>
  <si>
    <t>INEGI 
https://www.inegi.org.mx/temas/pib/#informacion_general</t>
  </si>
  <si>
    <r>
      <t xml:space="preserve">4T-25 </t>
    </r>
    <r>
      <rPr>
        <b/>
        <sz val="8"/>
        <color theme="0"/>
        <rFont val="Noto Sans"/>
        <family val="2"/>
      </rPr>
      <t>P</t>
    </r>
  </si>
  <si>
    <r>
      <t xml:space="preserve">1T-25 </t>
    </r>
    <r>
      <rPr>
        <b/>
        <sz val="8"/>
        <color theme="0"/>
        <rFont val="Noto Sans"/>
        <family val="2"/>
      </rPr>
      <t>P</t>
    </r>
  </si>
  <si>
    <t>2T-25 P</t>
  </si>
  <si>
    <r>
      <t xml:space="preserve">3T-25 </t>
    </r>
    <r>
      <rPr>
        <b/>
        <sz val="8"/>
        <color theme="0"/>
        <rFont val="Noto Sans"/>
        <family val="2"/>
      </rPr>
      <t>P</t>
    </r>
  </si>
  <si>
    <r>
      <rPr>
        <b/>
        <sz val="10"/>
        <color theme="1"/>
        <rFont val="Noto Sans"/>
        <family val="2"/>
      </rPr>
      <t>Interpretación:</t>
    </r>
    <r>
      <rPr>
        <sz val="10"/>
        <color theme="1"/>
        <rFont val="Noto Sans"/>
        <family val="2"/>
      </rPr>
      <t xml:space="preserve">
El </t>
    </r>
    <r>
      <rPr>
        <b/>
        <sz val="10"/>
        <color theme="1"/>
        <rFont val="Noto Sans"/>
        <family val="2"/>
      </rPr>
      <t>Índice de Volumen Físico de Actividad Industrial (línea verde)</t>
    </r>
    <r>
      <rPr>
        <sz val="10"/>
        <color theme="1"/>
        <rFont val="Noto Sans"/>
        <family val="2"/>
      </rPr>
      <t xml:space="preserve"> mide exclusivamente la cantidad real de bienes y servicios adquiridos por los hogares, eliminando el efecto de la inflación. Este indicador utiliza el promedio del consumo de 2018 como punto de referencia histórico, asignándole un valor base de 100 puntos. A lo largo de todo el periodo analizado, el índice se mantiene sólidamente por encima de este umbral, lo que refleja un nivel de gasto estructuralmente mayor al histórico.
La</t>
    </r>
    <r>
      <rPr>
        <b/>
        <sz val="10"/>
        <color theme="1"/>
        <rFont val="Noto Sans"/>
        <family val="2"/>
      </rPr>
      <t xml:space="preserve"> Variación Mensual (línea dorada) </t>
    </r>
    <r>
      <rPr>
        <sz val="10"/>
        <color theme="1"/>
        <rFont val="Noto Sans"/>
        <family val="2"/>
      </rPr>
      <t>evalúa el ritmo y la dirección del gasto a muy corto plazo, comparando el desempeño de cada mes inmediatamente con el mes anterior. Los porcentajes positivos indican una aceleración en el consumo frente al mes pasado, mientras que los valores negativos reflejan un freno.</t>
    </r>
  </si>
  <si>
    <r>
      <t>May 25 </t>
    </r>
    <r>
      <rPr>
        <sz val="7"/>
        <color theme="0"/>
        <rFont val="Arial"/>
        <family val="2"/>
      </rPr>
      <t>P</t>
    </r>
  </si>
  <si>
    <t>Jun 25 P</t>
  </si>
  <si>
    <t>Jul 25 P</t>
  </si>
  <si>
    <t>Ago 25 P</t>
  </si>
  <si>
    <t>Sep 25 P</t>
  </si>
  <si>
    <t>Oct 25 P</t>
  </si>
  <si>
    <t>Nov 25 P</t>
  </si>
  <si>
    <t>Dic 25 P</t>
  </si>
  <si>
    <t>Ene 26 P</t>
  </si>
  <si>
    <t>Feb 26 P</t>
  </si>
  <si>
    <t>Mar 26 P</t>
  </si>
  <si>
    <t>INEGI 
https://www.inegi.org.mx/temas/imai/</t>
  </si>
  <si>
    <t>Indicador Mensual de Actividad Industrial (IMAI)</t>
  </si>
  <si>
    <t>Proporciona una visión sobre el comportamiento de la producción industrial en el corto plazo.  El IMAI se divide en cuatro grandes sectores de actividad económica, de acuerdo con el SCIAN: Minería, Construcción, Industrias manufactureras y energía eléctrica, agua y gas.</t>
  </si>
  <si>
    <t>Subyacente</t>
  </si>
  <si>
    <t>No subyacente</t>
  </si>
  <si>
    <t>Inflación</t>
  </si>
  <si>
    <t xml:space="preserve">Inversión Extranjera Directa </t>
  </si>
  <si>
    <r>
      <t>Abr 26 </t>
    </r>
    <r>
      <rPr>
        <sz val="7"/>
        <color theme="0"/>
        <rFont val="Arial"/>
        <family val="2"/>
      </rPr>
      <t>P</t>
    </r>
  </si>
  <si>
    <t>Act. Terciarias</t>
  </si>
  <si>
    <t>Abr 26 P</t>
  </si>
  <si>
    <t>Inversión transfronteriza en la cual un residente de una economía (inversionista directo) adquiere el control o un grado significativo de influencia en la gestión de una empresa residente en otra economía</t>
  </si>
  <si>
    <t xml:space="preserve">Permite analizar la contribución específica de cada sector al valor agregado total de la economía mexicana. Es fundamental para entender la estructura productiva del país y cómo evoluciona con el tiempo. </t>
  </si>
  <si>
    <t>Var. Trim. Terc.</t>
  </si>
  <si>
    <t>OCDE</t>
  </si>
  <si>
    <t>Tasa</t>
  </si>
  <si>
    <t>Tasa de desocupación nacional</t>
  </si>
  <si>
    <t xml:space="preserve"> INEGI:
https://www.oecd.org/es/data/indicators/unemployment-rate.html</t>
  </si>
  <si>
    <t>Banxico</t>
  </si>
  <si>
    <t>May 26 O</t>
  </si>
  <si>
    <t>Var. Mensual Exp</t>
  </si>
  <si>
    <t>Act. Secundarias</t>
  </si>
  <si>
    <t>Ene 25</t>
  </si>
  <si>
    <t>Feb 25</t>
  </si>
  <si>
    <t>Mar 25</t>
  </si>
  <si>
    <t>Abr 25</t>
  </si>
  <si>
    <t>May 25</t>
  </si>
  <si>
    <t>May 24</t>
  </si>
  <si>
    <t>Jun 24</t>
  </si>
  <si>
    <t>Jul 24</t>
  </si>
  <si>
    <t>Ago 24</t>
  </si>
  <si>
    <t>Sep 24</t>
  </si>
  <si>
    <t>Oct 24</t>
  </si>
  <si>
    <t>Nov 24</t>
  </si>
  <si>
    <t>Dic 24</t>
  </si>
  <si>
    <t>Promedio</t>
  </si>
  <si>
    <r>
      <t xml:space="preserve">May 26 </t>
    </r>
    <r>
      <rPr>
        <b/>
        <sz val="8"/>
        <color theme="0"/>
        <rFont val="Noto Sans"/>
      </rPr>
      <t>O</t>
    </r>
  </si>
  <si>
    <t xml:space="preserve">Var. Anual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</si>
</sst>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164" formatCode="_-&quot;$&quot;* #,##0_-;\-&quot;$&quot;* #,##0_-;_-&quot;$&quot;* &quot;-&quot;??_-;_-@_-"/>
    <numFmt numFmtId="165" formatCode="#,##0.0"/>
    <numFmt numFmtId="166" formatCode="0.0"/>
    <numFmt numFmtId="167" formatCode="0.0%"/>
  </numFmts>
  <fonts count="15" x14ac:knownFonts="1">
    <font>
      <sz val="11"/>
      <color theme="1"/>
      <name val="Calibri"/>
      <family val="2"/>
      <scheme val="minor"/>
    </font>
    <font>
      <sz val="11"/>
      <color theme="1"/>
      <name val="Calibri"/>
      <family val="2"/>
      <scheme val="minor"/>
    </font>
    <font>
      <b/>
      <sz val="11"/>
      <color theme="1"/>
      <name val="Noto Sans"/>
      <family val="2"/>
    </font>
    <font>
      <sz val="11"/>
      <color theme="1"/>
      <name val="Noto Sans"/>
      <family val="2"/>
    </font>
    <font>
      <b/>
      <sz val="12"/>
      <color theme="1"/>
      <name val="Calibri"/>
      <family val="2"/>
      <scheme val="minor"/>
    </font>
    <font>
      <sz val="10"/>
      <color theme="1"/>
      <name val="Noto Sans"/>
      <family val="2"/>
    </font>
    <font>
      <sz val="10"/>
      <color rgb="FF2E3438"/>
      <name val="Noto Sans"/>
      <family val="2"/>
    </font>
    <font>
      <b/>
      <sz val="10"/>
      <color theme="0"/>
      <name val="Noto Sans"/>
      <family val="2"/>
    </font>
    <font>
      <sz val="7"/>
      <color theme="0"/>
      <name val="Arial"/>
      <family val="2"/>
    </font>
    <font>
      <b/>
      <sz val="10"/>
      <color theme="1"/>
      <name val="Noto Sans"/>
      <family val="2"/>
    </font>
    <font>
      <b/>
      <sz val="7"/>
      <color theme="0"/>
      <name val="Noto Sans"/>
      <family val="2"/>
    </font>
    <font>
      <b/>
      <sz val="8"/>
      <color theme="0"/>
      <name val="Noto Sans"/>
      <family val="2"/>
    </font>
    <font>
      <b/>
      <sz val="9"/>
      <color rgb="FF2E3438"/>
      <name val="Noto Sans"/>
      <family val="2"/>
    </font>
    <font>
      <b/>
      <sz val="11"/>
      <color theme="1"/>
      <name val="Calibri"/>
      <family val="2"/>
      <scheme val="minor"/>
    </font>
    <font>
      <b/>
      <sz val="8"/>
      <color theme="0"/>
      <name val="Noto Sans"/>
    </font>
  </fonts>
  <fills count="7">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1E5B4F"/>
        <bgColor indexed="64"/>
      </patternFill>
    </fill>
    <fill>
      <patternFill patternType="solid">
        <fgColor rgb="FF002F2A"/>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1E5B4F"/>
      </left>
      <right style="thin">
        <color rgb="FF1E5B4F"/>
      </right>
      <top style="thin">
        <color rgb="FF1E5B4F"/>
      </top>
      <bottom style="thin">
        <color rgb="FF1E5B4F"/>
      </bottom>
      <diagonal/>
    </border>
    <border>
      <left style="thin">
        <color rgb="FF002F2A"/>
      </left>
      <right style="thin">
        <color rgb="FF002F2A"/>
      </right>
      <top style="thin">
        <color rgb="FF002F2A"/>
      </top>
      <bottom style="thin">
        <color rgb="FF002F2A"/>
      </bottom>
      <diagonal/>
    </border>
    <border>
      <left/>
      <right style="thin">
        <color rgb="FF1E5B4F"/>
      </right>
      <top style="thin">
        <color rgb="FF1E5B4F"/>
      </top>
      <bottom style="thin">
        <color rgb="FF1E5B4F"/>
      </bottom>
      <diagonal/>
    </border>
    <border>
      <left style="thin">
        <color rgb="FF1E5B4F"/>
      </left>
      <right style="thin">
        <color rgb="FF1E5B4F"/>
      </right>
      <top style="thin">
        <color rgb="FF1E5B4F"/>
      </top>
      <bottom/>
      <diagonal/>
    </border>
    <border>
      <left/>
      <right/>
      <top style="thin">
        <color rgb="FF1E5B4F"/>
      </top>
      <bottom/>
      <diagonal/>
    </border>
    <border>
      <left style="thin">
        <color rgb="FF002F2A"/>
      </left>
      <right/>
      <top style="thin">
        <color rgb="FF1E5B4F"/>
      </top>
      <bottom style="thin">
        <color rgb="FF1E5B4F"/>
      </bottom>
      <diagonal/>
    </border>
    <border>
      <left/>
      <right/>
      <top style="thin">
        <color rgb="FF1E5B4F"/>
      </top>
      <bottom style="thin">
        <color rgb="FF1E5B4F"/>
      </bottom>
      <diagonal/>
    </border>
    <border>
      <left/>
      <right style="thin">
        <color rgb="FF1E5B4F"/>
      </right>
      <top/>
      <bottom/>
      <diagonal/>
    </border>
    <border>
      <left/>
      <right style="thin">
        <color rgb="FF1E5B4F"/>
      </right>
      <top style="thin">
        <color rgb="FF1E5B4F"/>
      </top>
      <bottom/>
      <diagonal/>
    </border>
    <border>
      <left style="thin">
        <color rgb="FF002F2A"/>
      </left>
      <right/>
      <top style="thin">
        <color rgb="FF002F2A"/>
      </top>
      <bottom style="thin">
        <color rgb="FF002F2A"/>
      </bottom>
      <diagonal/>
    </border>
    <border>
      <left style="thin">
        <color rgb="FF1E5B4F"/>
      </left>
      <right/>
      <top style="thin">
        <color rgb="FF1E5B4F"/>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165" fontId="2" fillId="3" borderId="2" xfId="0" applyNumberFormat="1" applyFont="1" applyFill="1" applyBorder="1" applyAlignment="1">
      <alignment horizontal="center" vertical="center"/>
    </xf>
    <xf numFmtId="165" fontId="2" fillId="3" borderId="0" xfId="0" applyNumberFormat="1" applyFont="1" applyFill="1" applyAlignment="1">
      <alignment horizontal="center" vertical="center"/>
    </xf>
    <xf numFmtId="165" fontId="2" fillId="3" borderId="3" xfId="0" applyNumberFormat="1" applyFont="1" applyFill="1" applyBorder="1" applyAlignment="1">
      <alignment horizontal="center" vertical="center"/>
    </xf>
    <xf numFmtId="165" fontId="0" fillId="0" borderId="0" xfId="0" applyNumberFormat="1"/>
    <xf numFmtId="0" fontId="0" fillId="0" borderId="0" xfId="0" applyAlignment="1">
      <alignment horizontal="center"/>
    </xf>
    <xf numFmtId="0" fontId="3" fillId="0" borderId="0" xfId="0" applyFont="1"/>
    <xf numFmtId="0" fontId="3" fillId="0" borderId="0" xfId="0" applyFont="1" applyAlignment="1">
      <alignment horizontal="center"/>
    </xf>
    <xf numFmtId="0" fontId="7" fillId="5" borderId="4" xfId="0" applyFont="1" applyFill="1" applyBorder="1" applyAlignment="1">
      <alignment horizontal="center" vertical="center" wrapText="1"/>
    </xf>
    <xf numFmtId="164" fontId="6" fillId="2" borderId="6" xfId="1" applyNumberFormat="1" applyFont="1" applyFill="1" applyBorder="1" applyAlignment="1">
      <alignment horizontal="center" vertical="center"/>
    </xf>
    <xf numFmtId="0" fontId="7" fillId="5" borderId="7"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0" borderId="0" xfId="0" applyFont="1" applyAlignment="1">
      <alignment horizontal="center" vertical="center"/>
    </xf>
    <xf numFmtId="0" fontId="7" fillId="5" borderId="7" xfId="0" applyFont="1" applyFill="1" applyBorder="1" applyAlignment="1">
      <alignment horizontal="center" vertical="center"/>
    </xf>
    <xf numFmtId="0" fontId="7" fillId="5" borderId="11" xfId="0" applyFont="1" applyFill="1" applyBorder="1" applyAlignment="1">
      <alignment horizontal="center" vertical="center" wrapText="1"/>
    </xf>
    <xf numFmtId="164" fontId="0" fillId="0" borderId="0" xfId="0" applyNumberFormat="1"/>
    <xf numFmtId="0" fontId="7" fillId="5" borderId="0" xfId="0" applyFont="1" applyFill="1" applyAlignment="1">
      <alignment horizontal="center" vertical="center" wrapText="1"/>
    </xf>
    <xf numFmtId="0" fontId="7" fillId="4" borderId="13" xfId="0" applyFont="1" applyFill="1" applyBorder="1" applyAlignment="1">
      <alignment horizontal="center" vertical="center" wrapText="1"/>
    </xf>
    <xf numFmtId="0" fontId="7" fillId="4" borderId="5" xfId="0" applyFont="1" applyFill="1" applyBorder="1" applyAlignment="1">
      <alignment horizontal="right" vertical="center" wrapText="1"/>
    </xf>
    <xf numFmtId="0" fontId="7" fillId="4" borderId="0" xfId="0" applyFont="1" applyFill="1" applyAlignment="1">
      <alignment horizontal="right" vertical="center" wrapText="1"/>
    </xf>
    <xf numFmtId="10" fontId="6" fillId="2" borderId="1" xfId="1" applyNumberFormat="1" applyFont="1" applyFill="1" applyBorder="1" applyAlignment="1">
      <alignment horizontal="center" vertical="center"/>
    </xf>
    <xf numFmtId="166" fontId="0" fillId="0" borderId="1" xfId="0" applyNumberFormat="1" applyBorder="1" applyAlignment="1">
      <alignment horizontal="center"/>
    </xf>
    <xf numFmtId="0" fontId="7" fillId="4" borderId="13" xfId="0" applyFont="1" applyFill="1" applyBorder="1" applyAlignment="1">
      <alignment horizontal="right" vertical="center" wrapText="1"/>
    </xf>
    <xf numFmtId="0" fontId="0" fillId="0" borderId="0" xfId="0" applyAlignment="1">
      <alignment wrapText="1"/>
    </xf>
    <xf numFmtId="0" fontId="7" fillId="0" borderId="0" xfId="0" applyFont="1" applyAlignment="1">
      <alignment horizontal="center" vertical="center" wrapText="1"/>
    </xf>
    <xf numFmtId="0" fontId="5" fillId="0" borderId="0" xfId="0" applyFont="1"/>
    <xf numFmtId="0" fontId="7" fillId="5" borderId="14" xfId="0" applyFont="1" applyFill="1" applyBorder="1" applyAlignment="1">
      <alignment horizontal="center" vertical="center"/>
    </xf>
    <xf numFmtId="0" fontId="7" fillId="4" borderId="0" xfId="0" applyFont="1" applyFill="1" applyAlignment="1">
      <alignment horizontal="center" vertical="center" wrapText="1"/>
    </xf>
    <xf numFmtId="164" fontId="3" fillId="0" borderId="0" xfId="0" applyNumberFormat="1" applyFont="1"/>
    <xf numFmtId="0" fontId="7" fillId="5" borderId="14" xfId="0" applyFont="1" applyFill="1" applyBorder="1" applyAlignment="1">
      <alignment horizontal="center" vertical="center" wrapText="1"/>
    </xf>
    <xf numFmtId="166" fontId="6" fillId="2" borderId="1" xfId="1" applyNumberFormat="1" applyFont="1" applyFill="1" applyBorder="1" applyAlignment="1">
      <alignment horizontal="center" vertical="center"/>
    </xf>
    <xf numFmtId="167" fontId="6" fillId="2" borderId="1" xfId="1" applyNumberFormat="1" applyFont="1" applyFill="1" applyBorder="1" applyAlignment="1">
      <alignment horizontal="center" vertical="center"/>
    </xf>
    <xf numFmtId="164" fontId="6" fillId="2" borderId="10" xfId="1" applyNumberFormat="1" applyFont="1" applyFill="1" applyBorder="1" applyAlignment="1">
      <alignment horizontal="center" vertical="center"/>
    </xf>
    <xf numFmtId="167" fontId="12" fillId="0" borderId="1" xfId="2" applyNumberFormat="1" applyFont="1" applyFill="1" applyBorder="1" applyAlignment="1">
      <alignment horizontal="center" vertical="center"/>
    </xf>
    <xf numFmtId="167" fontId="0" fillId="0" borderId="1" xfId="2" applyNumberFormat="1" applyFont="1" applyBorder="1" applyAlignment="1">
      <alignment horizontal="center"/>
    </xf>
    <xf numFmtId="0" fontId="7" fillId="5" borderId="0" xfId="0" applyFont="1" applyFill="1" applyAlignment="1">
      <alignment horizontal="center" vertical="center"/>
    </xf>
    <xf numFmtId="0" fontId="5" fillId="0" borderId="0" xfId="0" applyFont="1" applyAlignment="1">
      <alignment horizontal="center"/>
    </xf>
    <xf numFmtId="167" fontId="6" fillId="2" borderId="4" xfId="1" applyNumberFormat="1" applyFont="1" applyFill="1" applyBorder="1" applyAlignment="1">
      <alignment horizontal="center" vertical="center"/>
    </xf>
    <xf numFmtId="167" fontId="0" fillId="0" borderId="0" xfId="2" applyNumberFormat="1" applyFont="1" applyAlignment="1">
      <alignment horizontal="center"/>
    </xf>
    <xf numFmtId="0" fontId="9" fillId="0" borderId="0" xfId="0" applyFont="1" applyAlignment="1">
      <alignment horizontal="center" vertical="center" wrapText="1"/>
    </xf>
    <xf numFmtId="167" fontId="13" fillId="0" borderId="0" xfId="0" applyNumberFormat="1" applyFont="1" applyAlignment="1">
      <alignment horizontal="center"/>
    </xf>
    <xf numFmtId="0" fontId="5" fillId="0" borderId="6" xfId="0" applyFont="1" applyBorder="1" applyAlignment="1">
      <alignment horizontal="left"/>
    </xf>
    <xf numFmtId="0" fontId="5" fillId="0" borderId="4" xfId="0" applyFont="1" applyBorder="1" applyAlignment="1">
      <alignment horizontal="left"/>
    </xf>
    <xf numFmtId="0" fontId="5" fillId="0" borderId="8" xfId="0" applyFont="1" applyBorder="1" applyAlignment="1">
      <alignment horizontal="left" wrapText="1"/>
    </xf>
    <xf numFmtId="0" fontId="5" fillId="0" borderId="8" xfId="0" applyFont="1" applyBorder="1" applyAlignment="1">
      <alignment horizontal="left"/>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6" xfId="0" applyFont="1" applyBorder="1" applyAlignment="1">
      <alignment horizontal="left" vertical="center" wrapText="1"/>
    </xf>
    <xf numFmtId="0" fontId="5" fillId="0" borderId="1" xfId="0" applyFont="1" applyBorder="1" applyAlignment="1">
      <alignment horizontal="left" wrapText="1"/>
    </xf>
    <xf numFmtId="0" fontId="5" fillId="0" borderId="1" xfId="0" applyFont="1" applyBorder="1" applyAlignment="1">
      <alignment horizontal="left"/>
    </xf>
    <xf numFmtId="0" fontId="5" fillId="6" borderId="0" xfId="0" applyFont="1" applyFill="1" applyAlignment="1">
      <alignment horizontal="left" wrapText="1"/>
    </xf>
    <xf numFmtId="0" fontId="5" fillId="0" borderId="12" xfId="0" applyFont="1" applyBorder="1" applyAlignment="1">
      <alignment horizontal="left"/>
    </xf>
    <xf numFmtId="0" fontId="5" fillId="0" borderId="7" xfId="0" applyFont="1" applyBorder="1" applyAlignment="1">
      <alignment horizontal="left"/>
    </xf>
    <xf numFmtId="0" fontId="5" fillId="0" borderId="4" xfId="0" applyFont="1" applyBorder="1" applyAlignment="1">
      <alignment horizontal="left" vertical="center" wrapText="1"/>
    </xf>
    <xf numFmtId="0" fontId="4" fillId="0" borderId="0" xfId="0" applyFont="1" applyAlignment="1">
      <alignment horizont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6" xfId="0" applyFont="1" applyBorder="1" applyAlignment="1">
      <alignment horizontal="left" vertical="center"/>
    </xf>
    <xf numFmtId="0" fontId="5" fillId="0" borderId="4" xfId="0" applyFont="1" applyBorder="1" applyAlignment="1">
      <alignment horizontal="left" vertical="center"/>
    </xf>
    <xf numFmtId="0" fontId="5" fillId="0" borderId="12" xfId="0" applyFont="1" applyBorder="1" applyAlignment="1">
      <alignment horizontal="left" vertical="center"/>
    </xf>
    <xf numFmtId="0" fontId="5" fillId="0" borderId="7" xfId="0" applyFont="1" applyBorder="1" applyAlignment="1">
      <alignment horizontal="left" vertical="center"/>
    </xf>
  </cellXfs>
  <cellStyles count="3">
    <cellStyle name="Moneda" xfId="1" builtinId="4"/>
    <cellStyle name="Normal" xfId="0" builtinId="0"/>
    <cellStyle name="Porcentaje" xfId="2" builtinId="5"/>
  </cellStyles>
  <dxfs count="7">
    <dxf>
      <font>
        <strike val="0"/>
        <outline val="0"/>
        <shadow val="0"/>
        <u val="none"/>
        <vertAlign val="baseline"/>
        <sz val="10"/>
        <name val="Noto Sans"/>
        <scheme val="none"/>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0"/>
        <color rgb="FF2E3438"/>
        <name val="No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2E3438"/>
        <name val="Noto Sans"/>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name val="Noto Sans"/>
        <scheme val="none"/>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0"/>
        <color theme="0"/>
        <name val="Noto Sans"/>
        <scheme val="none"/>
      </font>
      <numFmt numFmtId="22" formatCode="mmm\-yy"/>
      <fill>
        <patternFill patternType="solid">
          <fgColor indexed="64"/>
          <bgColor rgb="FF1E5B4F"/>
        </patternFill>
      </fill>
      <alignment horizontal="center" vertical="center" textRotation="0" wrapText="0" indent="0" justifyLastLine="0" shrinkToFit="0" readingOrder="0"/>
    </dxf>
    <dxf>
      <font>
        <strike val="0"/>
        <outline val="0"/>
        <shadow val="0"/>
        <u val="none"/>
        <vertAlign val="baseline"/>
        <sz val="10"/>
        <name val="Noto Sans"/>
        <scheme val="none"/>
      </font>
      <fill>
        <patternFill patternType="none">
          <fgColor indexed="64"/>
          <bgColor auto="1"/>
        </patternFill>
      </fill>
      <alignment textRotation="0" wrapText="0" indent="0" justifyLastLine="0" shrinkToFit="0" readingOrder="0"/>
    </dxf>
    <dxf>
      <font>
        <strike val="0"/>
        <outline val="0"/>
        <shadow val="0"/>
        <u val="none"/>
        <vertAlign val="baseline"/>
        <sz val="10"/>
        <name val="Noto Sans"/>
        <scheme val="none"/>
      </font>
      <alignment textRotation="0" wrapText="0" indent="0" justifyLastLine="0" shrinkToFit="0" readingOrder="0"/>
    </dxf>
  </dxfs>
  <tableStyles count="0" defaultTableStyle="TableStyleMedium2" defaultPivotStyle="PivotStyleLight16"/>
  <colors>
    <mruColors>
      <color rgb="FFA6802D"/>
      <color rgb="FF1E5B4F"/>
      <color rgb="FF9C2348"/>
      <color rgb="FF621333"/>
      <color rgb="FF002F2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800" b="1">
                <a:latin typeface="Noto Sans" panose="020B0502040504020204" pitchFamily="34" charset="0"/>
                <a:ea typeface="Noto Sans" panose="020B0502040504020204" pitchFamily="34" charset="0"/>
                <a:cs typeface="Noto Sans" panose="020B0502040504020204" pitchFamily="34" charset="0"/>
              </a:rPr>
              <a:t>Producto Interno Bruto,</a:t>
            </a:r>
            <a:r>
              <a:rPr lang="es-MX" sz="1800" b="1" baseline="0">
                <a:latin typeface="Noto Sans" panose="020B0502040504020204" pitchFamily="34" charset="0"/>
                <a:ea typeface="Noto Sans" panose="020B0502040504020204" pitchFamily="34" charset="0"/>
                <a:cs typeface="Noto Sans" panose="020B0502040504020204" pitchFamily="34" charset="0"/>
              </a:rPr>
              <a:t> series originales (mdp a precios de 2018) </a:t>
            </a:r>
            <a:r>
              <a:rPr lang="es-MX" sz="1800" b="1">
                <a:latin typeface="Noto Sans" panose="020B0502040504020204" pitchFamily="34" charset="0"/>
                <a:ea typeface="Noto Sans" panose="020B0502040504020204" pitchFamily="34" charset="0"/>
                <a:cs typeface="Noto Sans" panose="020B0502040504020204" pitchFamily="34" charset="0"/>
              </a:rPr>
              <a:t>  </a:t>
            </a:r>
          </a:p>
        </c:rich>
      </c:tx>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barChart>
        <c:barDir val="col"/>
        <c:grouping val="clustered"/>
        <c:varyColors val="0"/>
        <c:ser>
          <c:idx val="0"/>
          <c:order val="0"/>
          <c:tx>
            <c:strRef>
              <c:f>PIB!$C$9</c:f>
              <c:strCache>
                <c:ptCount val="1"/>
                <c:pt idx="0">
                  <c:v>PIB</c:v>
                </c:pt>
              </c:strCache>
            </c:strRef>
          </c:tx>
          <c:spPr>
            <a:solidFill>
              <a:srgbClr val="1E5B4F"/>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3-E7DE-4198-A166-C2E9AA6D1E3B}"/>
                </c:ext>
              </c:extLst>
            </c:dLbl>
            <c:dLbl>
              <c:idx val="9"/>
              <c:delete val="1"/>
              <c:extLst>
                <c:ext xmlns:c15="http://schemas.microsoft.com/office/drawing/2012/chart" uri="{CE6537A1-D6FC-4f65-9D91-7224C49458BB}"/>
                <c:ext xmlns:c16="http://schemas.microsoft.com/office/drawing/2014/chart" uri="{C3380CC4-5D6E-409C-BE32-E72D297353CC}">
                  <c16:uniqueId val="{00000005-E7DE-4198-A166-C2E9AA6D1E3B}"/>
                </c:ext>
              </c:extLst>
            </c:dLbl>
            <c:dLbl>
              <c:idx val="10"/>
              <c:delete val="1"/>
              <c:extLst>
                <c:ext xmlns:c15="http://schemas.microsoft.com/office/drawing/2012/chart" uri="{CE6537A1-D6FC-4f65-9D91-7224C49458BB}"/>
                <c:ext xmlns:c16="http://schemas.microsoft.com/office/drawing/2014/chart" uri="{C3380CC4-5D6E-409C-BE32-E72D297353CC}">
                  <c16:uniqueId val="{00000004-E7DE-4198-A166-C2E9AA6D1E3B}"/>
                </c:ext>
              </c:extLst>
            </c:dLbl>
            <c:dLbl>
              <c:idx val="14"/>
              <c:delete val="1"/>
              <c:extLst>
                <c:ext xmlns:c15="http://schemas.microsoft.com/office/drawing/2012/chart" uri="{CE6537A1-D6FC-4f65-9D91-7224C49458BB}"/>
                <c:ext xmlns:c16="http://schemas.microsoft.com/office/drawing/2014/chart" uri="{C3380CC4-5D6E-409C-BE32-E72D297353CC}">
                  <c16:uniqueId val="{00000006-E7DE-4198-A166-C2E9AA6D1E3B}"/>
                </c:ext>
              </c:extLst>
            </c:dLbl>
            <c:dLbl>
              <c:idx val="18"/>
              <c:delete val="1"/>
              <c:extLst>
                <c:ext xmlns:c15="http://schemas.microsoft.com/office/drawing/2012/chart" uri="{CE6537A1-D6FC-4f65-9D91-7224C49458BB}"/>
                <c:ext xmlns:c16="http://schemas.microsoft.com/office/drawing/2014/chart" uri="{C3380CC4-5D6E-409C-BE32-E72D297353CC}">
                  <c16:uniqueId val="{00000007-E7DE-4198-A166-C2E9AA6D1E3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ot"/>
                <a:round/>
              </a:ln>
              <a:effectLst/>
            </c:spPr>
            <c:trendlineType val="linear"/>
            <c:dispRSqr val="0"/>
            <c:dispEq val="0"/>
          </c:trendline>
          <c:cat>
            <c:strRef>
              <c:f>PIB!$B$10:$B$30</c:f>
              <c:strCache>
                <c:ptCount val="21"/>
                <c:pt idx="0">
                  <c:v>1T-21</c:v>
                </c:pt>
                <c:pt idx="1">
                  <c:v>2T-21</c:v>
                </c:pt>
                <c:pt idx="2">
                  <c:v>3T-21</c:v>
                </c:pt>
                <c:pt idx="3">
                  <c:v>4T-21</c:v>
                </c:pt>
                <c:pt idx="4">
                  <c:v>1T-22</c:v>
                </c:pt>
                <c:pt idx="5">
                  <c:v>2T-22</c:v>
                </c:pt>
                <c:pt idx="6">
                  <c:v>3T-22</c:v>
                </c:pt>
                <c:pt idx="7">
                  <c:v>4T-22</c:v>
                </c:pt>
                <c:pt idx="8">
                  <c:v>1T-23 R</c:v>
                </c:pt>
                <c:pt idx="9">
                  <c:v>2T-23 R</c:v>
                </c:pt>
                <c:pt idx="10">
                  <c:v>3T-23 R</c:v>
                </c:pt>
                <c:pt idx="11">
                  <c:v>4T-23 R</c:v>
                </c:pt>
                <c:pt idx="12">
                  <c:v>1T-24 R</c:v>
                </c:pt>
                <c:pt idx="13">
                  <c:v>2T-24 R</c:v>
                </c:pt>
                <c:pt idx="14">
                  <c:v>3T-24 R</c:v>
                </c:pt>
                <c:pt idx="15">
                  <c:v>4T-24 R</c:v>
                </c:pt>
                <c:pt idx="16">
                  <c:v>1T-25 R</c:v>
                </c:pt>
                <c:pt idx="17">
                  <c:v>2T-25 R</c:v>
                </c:pt>
                <c:pt idx="18">
                  <c:v>3T-25 R</c:v>
                </c:pt>
                <c:pt idx="19">
                  <c:v>4T-25 R</c:v>
                </c:pt>
                <c:pt idx="20">
                  <c:v>1T-26 P</c:v>
                </c:pt>
              </c:strCache>
            </c:strRef>
          </c:cat>
          <c:val>
            <c:numRef>
              <c:f>PIB!$C$10:$C$30</c:f>
              <c:numCache>
                <c:formatCode>_-"$"* #,##0_-;\-"$"* #,##0_-;_-"$"* "-"??_-;_-@_-</c:formatCode>
                <c:ptCount val="21"/>
                <c:pt idx="0">
                  <c:v>22841359.699999999</c:v>
                </c:pt>
                <c:pt idx="1">
                  <c:v>23623455.100000001</c:v>
                </c:pt>
                <c:pt idx="2">
                  <c:v>23204796.800000001</c:v>
                </c:pt>
                <c:pt idx="3">
                  <c:v>23949712.899999999</c:v>
                </c:pt>
                <c:pt idx="4">
                  <c:v>23440574.5</c:v>
                </c:pt>
                <c:pt idx="5">
                  <c:v>24310024.300000001</c:v>
                </c:pt>
                <c:pt idx="6">
                  <c:v>24289379.5</c:v>
                </c:pt>
                <c:pt idx="7">
                  <c:v>25052395.800000001</c:v>
                </c:pt>
                <c:pt idx="8">
                  <c:v>24330982.5</c:v>
                </c:pt>
                <c:pt idx="9">
                  <c:v>25108268.199999999</c:v>
                </c:pt>
                <c:pt idx="10">
                  <c:v>25094793.100000001</c:v>
                </c:pt>
                <c:pt idx="11">
                  <c:v>25590082.600000001</c:v>
                </c:pt>
                <c:pt idx="12">
                  <c:v>24761655.5</c:v>
                </c:pt>
                <c:pt idx="13">
                  <c:v>25655479</c:v>
                </c:pt>
                <c:pt idx="14">
                  <c:v>25475446.399999999</c:v>
                </c:pt>
                <c:pt idx="15">
                  <c:v>25693293</c:v>
                </c:pt>
                <c:pt idx="16">
                  <c:v>24913610.300000001</c:v>
                </c:pt>
                <c:pt idx="17">
                  <c:v>25618678.800000001</c:v>
                </c:pt>
                <c:pt idx="18">
                  <c:v>25422850.199999999</c:v>
                </c:pt>
                <c:pt idx="19">
                  <c:v>26135644.699999999</c:v>
                </c:pt>
                <c:pt idx="20">
                  <c:v>24973976.100000001</c:v>
                </c:pt>
              </c:numCache>
            </c:numRef>
          </c:val>
          <c:extLst>
            <c:ext xmlns:c16="http://schemas.microsoft.com/office/drawing/2014/chart" uri="{C3380CC4-5D6E-409C-BE32-E72D297353CC}">
              <c16:uniqueId val="{00000000-E7DE-4198-A166-C2E9AA6D1E3B}"/>
            </c:ext>
          </c:extLst>
        </c:ser>
        <c:dLbls>
          <c:showLegendKey val="0"/>
          <c:showVal val="0"/>
          <c:showCatName val="0"/>
          <c:showSerName val="0"/>
          <c:showPercent val="0"/>
          <c:showBubbleSize val="0"/>
        </c:dLbls>
        <c:gapWidth val="100"/>
        <c:overlap val="-27"/>
        <c:axId val="1391731744"/>
        <c:axId val="1391729664"/>
      </c:barChart>
      <c:lineChart>
        <c:grouping val="standard"/>
        <c:varyColors val="0"/>
        <c:ser>
          <c:idx val="1"/>
          <c:order val="1"/>
          <c:tx>
            <c:strRef>
              <c:f>PIB!$D$9</c:f>
              <c:strCache>
                <c:ptCount val="1"/>
                <c:pt idx="0">
                  <c:v>Var. Anual (%)</c:v>
                </c:pt>
              </c:strCache>
            </c:strRef>
          </c:tx>
          <c:spPr>
            <a:ln w="38100" cap="rnd">
              <a:solidFill>
                <a:srgbClr val="A6802D"/>
              </a:solidFill>
              <a:round/>
            </a:ln>
            <a:effectLst/>
          </c:spPr>
          <c:marker>
            <c:symbol val="none"/>
          </c:marker>
          <c:dLbls>
            <c:dLbl>
              <c:idx val="4"/>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9B-4E9B-A24D-30EF6F6C832B}"/>
                </c:ext>
              </c:extLst>
            </c:dLbl>
            <c:dLbl>
              <c:idx val="17"/>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9B-4E9B-A24D-30EF6F6C832B}"/>
                </c:ext>
              </c:extLst>
            </c:dLbl>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9B-4E9B-A24D-30EF6F6C832B}"/>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PIB!$B$10:$B$30</c:f>
              <c:strCache>
                <c:ptCount val="21"/>
                <c:pt idx="0">
                  <c:v>1T-21</c:v>
                </c:pt>
                <c:pt idx="1">
                  <c:v>2T-21</c:v>
                </c:pt>
                <c:pt idx="2">
                  <c:v>3T-21</c:v>
                </c:pt>
                <c:pt idx="3">
                  <c:v>4T-21</c:v>
                </c:pt>
                <c:pt idx="4">
                  <c:v>1T-22</c:v>
                </c:pt>
                <c:pt idx="5">
                  <c:v>2T-22</c:v>
                </c:pt>
                <c:pt idx="6">
                  <c:v>3T-22</c:v>
                </c:pt>
                <c:pt idx="7">
                  <c:v>4T-22</c:v>
                </c:pt>
                <c:pt idx="8">
                  <c:v>1T-23 R</c:v>
                </c:pt>
                <c:pt idx="9">
                  <c:v>2T-23 R</c:v>
                </c:pt>
                <c:pt idx="10">
                  <c:v>3T-23 R</c:v>
                </c:pt>
                <c:pt idx="11">
                  <c:v>4T-23 R</c:v>
                </c:pt>
                <c:pt idx="12">
                  <c:v>1T-24 R</c:v>
                </c:pt>
                <c:pt idx="13">
                  <c:v>2T-24 R</c:v>
                </c:pt>
                <c:pt idx="14">
                  <c:v>3T-24 R</c:v>
                </c:pt>
                <c:pt idx="15">
                  <c:v>4T-24 R</c:v>
                </c:pt>
                <c:pt idx="16">
                  <c:v>1T-25 R</c:v>
                </c:pt>
                <c:pt idx="17">
                  <c:v>2T-25 R</c:v>
                </c:pt>
                <c:pt idx="18">
                  <c:v>3T-25 R</c:v>
                </c:pt>
                <c:pt idx="19">
                  <c:v>4T-25 R</c:v>
                </c:pt>
                <c:pt idx="20">
                  <c:v>1T-26 P</c:v>
                </c:pt>
              </c:strCache>
            </c:strRef>
          </c:cat>
          <c:val>
            <c:numRef>
              <c:f>PIB!$D$10:$D$30</c:f>
              <c:numCache>
                <c:formatCode>0.0%</c:formatCode>
                <c:ptCount val="21"/>
                <c:pt idx="0">
                  <c:v>1.9E-2</c:v>
                </c:pt>
                <c:pt idx="1">
                  <c:v>5.0999999999999997E-2</c:v>
                </c:pt>
                <c:pt idx="2">
                  <c:v>0.22699999999999998</c:v>
                </c:pt>
                <c:pt idx="3">
                  <c:v>-2.6000000000000002E-2</c:v>
                </c:pt>
                <c:pt idx="4">
                  <c:v>2.6233762257156679E-2</c:v>
                </c:pt>
                <c:pt idx="5">
                  <c:v>2.9063030665653855E-2</c:v>
                </c:pt>
                <c:pt idx="6">
                  <c:v>4.6739590497081984E-2</c:v>
                </c:pt>
                <c:pt idx="7">
                  <c:v>4.6041591588348529E-2</c:v>
                </c:pt>
                <c:pt idx="8">
                  <c:v>3.7985758412192538E-2</c:v>
                </c:pt>
                <c:pt idx="9">
                  <c:v>3.2835997617657542E-2</c:v>
                </c:pt>
                <c:pt idx="10">
                  <c:v>3.3159085023147794E-2</c:v>
                </c:pt>
                <c:pt idx="11">
                  <c:v>2.1462490226184405E-2</c:v>
                </c:pt>
                <c:pt idx="12">
                  <c:v>1.7700600458695037E-2</c:v>
                </c:pt>
                <c:pt idx="13">
                  <c:v>2.1794047906497971E-2</c:v>
                </c:pt>
                <c:pt idx="14">
                  <c:v>1.5168616791664036E-2</c:v>
                </c:pt>
                <c:pt idx="15">
                  <c:v>4.0332187126272956E-3</c:v>
                </c:pt>
                <c:pt idx="16">
                  <c:v>6.1366979279717793E-3</c:v>
                </c:pt>
                <c:pt idx="17">
                  <c:v>-1.434399256392771E-3</c:v>
                </c:pt>
                <c:pt idx="18">
                  <c:v>-2.0645840380641989E-3</c:v>
                </c:pt>
                <c:pt idx="19">
                  <c:v>1.7216621473938654E-2</c:v>
                </c:pt>
                <c:pt idx="20">
                  <c:v>2.4230049066795711E-3</c:v>
                </c:pt>
              </c:numCache>
            </c:numRef>
          </c:val>
          <c:smooth val="0"/>
          <c:extLst>
            <c:ext xmlns:c16="http://schemas.microsoft.com/office/drawing/2014/chart" uri="{C3380CC4-5D6E-409C-BE32-E72D297353CC}">
              <c16:uniqueId val="{00000001-E7DE-4198-A166-C2E9AA6D1E3B}"/>
            </c:ext>
          </c:extLst>
        </c:ser>
        <c:dLbls>
          <c:showLegendKey val="0"/>
          <c:showVal val="0"/>
          <c:showCatName val="0"/>
          <c:showSerName val="0"/>
          <c:showPercent val="0"/>
          <c:showBubbleSize val="0"/>
        </c:dLbls>
        <c:marker val="1"/>
        <c:smooth val="0"/>
        <c:axId val="1391730080"/>
        <c:axId val="1391721760"/>
      </c:lineChart>
      <c:catAx>
        <c:axId val="139173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MX"/>
          </a:p>
        </c:txPr>
        <c:crossAx val="1391729664"/>
        <c:crosses val="autoZero"/>
        <c:auto val="1"/>
        <c:lblAlgn val="ctr"/>
        <c:lblOffset val="100"/>
        <c:noMultiLvlLbl val="0"/>
      </c:catAx>
      <c:valAx>
        <c:axId val="13917296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MX"/>
                  <a:t>millones de pesos a precios de 2018</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MX"/>
            </a:p>
          </c:txPr>
        </c:title>
        <c:numFmt formatCode="_-&quot;$&quot;* #,##0_-;\-&quot;$&quot;* #,##0_-;_-&quot;$&quot;*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91731744"/>
        <c:crosses val="autoZero"/>
        <c:crossBetween val="between"/>
      </c:valAx>
      <c:valAx>
        <c:axId val="1391721760"/>
        <c:scaling>
          <c:orientation val="minMax"/>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91730080"/>
        <c:crosses val="max"/>
        <c:crossBetween val="between"/>
      </c:valAx>
      <c:catAx>
        <c:axId val="1391730080"/>
        <c:scaling>
          <c:orientation val="minMax"/>
        </c:scaling>
        <c:delete val="1"/>
        <c:axPos val="b"/>
        <c:numFmt formatCode="General" sourceLinked="1"/>
        <c:majorTickMark val="out"/>
        <c:minorTickMark val="none"/>
        <c:tickLblPos val="nextTo"/>
        <c:crossAx val="13917217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b="1"/>
              <a:t>PIB</a:t>
            </a:r>
            <a:r>
              <a:rPr lang="es-MX" b="1" baseline="0"/>
              <a:t> por actividad económica, cifras desestacionalizadas</a:t>
            </a:r>
            <a:endParaRPr lang="es-MX"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barChart>
        <c:barDir val="col"/>
        <c:grouping val="clustered"/>
        <c:varyColors val="0"/>
        <c:ser>
          <c:idx val="0"/>
          <c:order val="0"/>
          <c:tx>
            <c:strRef>
              <c:f>'PIB Sectorial'!$C$9</c:f>
              <c:strCache>
                <c:ptCount val="1"/>
                <c:pt idx="0">
                  <c:v>Primarias</c:v>
                </c:pt>
              </c:strCache>
            </c:strRef>
          </c:tx>
          <c:spPr>
            <a:solidFill>
              <a:srgbClr val="002F2A"/>
            </a:solidFill>
            <a:ln>
              <a:noFill/>
            </a:ln>
            <a:effectLst/>
          </c:spPr>
          <c:invertIfNegative val="0"/>
          <c:cat>
            <c:strRef>
              <c:f>'PIB Sectorial'!$B$10:$B$22</c:f>
              <c:strCache>
                <c:ptCount val="13"/>
                <c:pt idx="0">
                  <c:v>1T-25 P</c:v>
                </c:pt>
                <c:pt idx="1">
                  <c:v>2T-25 P</c:v>
                </c:pt>
                <c:pt idx="2">
                  <c:v>3T-25 P</c:v>
                </c:pt>
                <c:pt idx="3">
                  <c:v>4T-25 P</c:v>
                </c:pt>
                <c:pt idx="4">
                  <c:v>1T-25 P</c:v>
                </c:pt>
                <c:pt idx="5">
                  <c:v>2T-25 P</c:v>
                </c:pt>
                <c:pt idx="6">
                  <c:v>3T-25 P</c:v>
                </c:pt>
                <c:pt idx="7">
                  <c:v>4T-25 P</c:v>
                </c:pt>
                <c:pt idx="8">
                  <c:v>1T-25 P</c:v>
                </c:pt>
                <c:pt idx="9">
                  <c:v>2T-25 P</c:v>
                </c:pt>
                <c:pt idx="10">
                  <c:v>3T-25 P</c:v>
                </c:pt>
                <c:pt idx="11">
                  <c:v>4T-25 P</c:v>
                </c:pt>
                <c:pt idx="12">
                  <c:v>1T-26 P</c:v>
                </c:pt>
              </c:strCache>
            </c:strRef>
          </c:cat>
          <c:val>
            <c:numRef>
              <c:f>'PIB Sectorial'!$C$10:$C$22</c:f>
              <c:numCache>
                <c:formatCode>_-"$"* #,##0_-;\-"$"* #,##0_-;_-"$"* "-"??_-;_-@_-</c:formatCode>
                <c:ptCount val="13"/>
                <c:pt idx="0">
                  <c:v>835925.6</c:v>
                </c:pt>
                <c:pt idx="1">
                  <c:v>836799.6</c:v>
                </c:pt>
                <c:pt idx="2">
                  <c:v>819095.7</c:v>
                </c:pt>
                <c:pt idx="3">
                  <c:v>831686.6</c:v>
                </c:pt>
                <c:pt idx="4">
                  <c:v>827043</c:v>
                </c:pt>
                <c:pt idx="5">
                  <c:v>842252.6</c:v>
                </c:pt>
                <c:pt idx="6">
                  <c:v>871472.5</c:v>
                </c:pt>
                <c:pt idx="7">
                  <c:v>813692.8</c:v>
                </c:pt>
                <c:pt idx="8">
                  <c:v>854504.32127078995</c:v>
                </c:pt>
                <c:pt idx="9">
                  <c:v>836772.66554879898</c:v>
                </c:pt>
                <c:pt idx="10">
                  <c:v>859287.64396297699</c:v>
                </c:pt>
                <c:pt idx="11">
                  <c:v>871755.01865864801</c:v>
                </c:pt>
                <c:pt idx="12">
                  <c:v>856921.08701225801</c:v>
                </c:pt>
              </c:numCache>
            </c:numRef>
          </c:val>
          <c:extLst>
            <c:ext xmlns:c16="http://schemas.microsoft.com/office/drawing/2014/chart" uri="{C3380CC4-5D6E-409C-BE32-E72D297353CC}">
              <c16:uniqueId val="{00000000-9F4C-4C3E-B8BE-7CA9D09FD830}"/>
            </c:ext>
          </c:extLst>
        </c:ser>
        <c:ser>
          <c:idx val="2"/>
          <c:order val="1"/>
          <c:tx>
            <c:strRef>
              <c:f>'PIB Sectorial'!$D$9</c:f>
              <c:strCache>
                <c:ptCount val="1"/>
                <c:pt idx="0">
                  <c:v>Secundarias</c:v>
                </c:pt>
              </c:strCache>
            </c:strRef>
          </c:tx>
          <c:spPr>
            <a:solidFill>
              <a:srgbClr val="1E5B4F"/>
            </a:solidFill>
            <a:ln>
              <a:noFill/>
            </a:ln>
            <a:effectLst/>
          </c:spPr>
          <c:invertIfNegative val="0"/>
          <c:cat>
            <c:strRef>
              <c:f>'PIB Sectorial'!$B$10:$B$22</c:f>
              <c:strCache>
                <c:ptCount val="13"/>
                <c:pt idx="0">
                  <c:v>1T-25 P</c:v>
                </c:pt>
                <c:pt idx="1">
                  <c:v>2T-25 P</c:v>
                </c:pt>
                <c:pt idx="2">
                  <c:v>3T-25 P</c:v>
                </c:pt>
                <c:pt idx="3">
                  <c:v>4T-25 P</c:v>
                </c:pt>
                <c:pt idx="4">
                  <c:v>1T-25 P</c:v>
                </c:pt>
                <c:pt idx="5">
                  <c:v>2T-25 P</c:v>
                </c:pt>
                <c:pt idx="6">
                  <c:v>3T-25 P</c:v>
                </c:pt>
                <c:pt idx="7">
                  <c:v>4T-25 P</c:v>
                </c:pt>
                <c:pt idx="8">
                  <c:v>1T-25 P</c:v>
                </c:pt>
                <c:pt idx="9">
                  <c:v>2T-25 P</c:v>
                </c:pt>
                <c:pt idx="10">
                  <c:v>3T-25 P</c:v>
                </c:pt>
                <c:pt idx="11">
                  <c:v>4T-25 P</c:v>
                </c:pt>
                <c:pt idx="12">
                  <c:v>1T-26 P</c:v>
                </c:pt>
              </c:strCache>
            </c:strRef>
          </c:cat>
          <c:val>
            <c:numRef>
              <c:f>'PIB Sectorial'!$D$10:$D$22</c:f>
              <c:numCache>
                <c:formatCode>_-"$"* #,##0_-;\-"$"* #,##0_-;_-"$"* "-"??_-;_-@_-</c:formatCode>
                <c:ptCount val="13"/>
                <c:pt idx="0">
                  <c:v>7884149.7999999998</c:v>
                </c:pt>
                <c:pt idx="1">
                  <c:v>7943263.2999999998</c:v>
                </c:pt>
                <c:pt idx="2">
                  <c:v>8016288.2999999998</c:v>
                </c:pt>
                <c:pt idx="3">
                  <c:v>8010952.0999999996</c:v>
                </c:pt>
                <c:pt idx="4">
                  <c:v>7940140.5999999996</c:v>
                </c:pt>
                <c:pt idx="5">
                  <c:v>7876382</c:v>
                </c:pt>
                <c:pt idx="6">
                  <c:v>7979123.7000000002</c:v>
                </c:pt>
                <c:pt idx="7">
                  <c:v>7807342.0999999996</c:v>
                </c:pt>
                <c:pt idx="8">
                  <c:v>7833621.0345569896</c:v>
                </c:pt>
                <c:pt idx="9">
                  <c:v>7849205.9839733597</c:v>
                </c:pt>
                <c:pt idx="10">
                  <c:v>7780913.07920474</c:v>
                </c:pt>
                <c:pt idx="11">
                  <c:v>7829888.1741864402</c:v>
                </c:pt>
                <c:pt idx="12">
                  <c:v>7750175.3189236997</c:v>
                </c:pt>
              </c:numCache>
            </c:numRef>
          </c:val>
          <c:extLst>
            <c:ext xmlns:c16="http://schemas.microsoft.com/office/drawing/2014/chart" uri="{C3380CC4-5D6E-409C-BE32-E72D297353CC}">
              <c16:uniqueId val="{00000002-9F4C-4C3E-B8BE-7CA9D09FD830}"/>
            </c:ext>
          </c:extLst>
        </c:ser>
        <c:ser>
          <c:idx val="4"/>
          <c:order val="2"/>
          <c:tx>
            <c:strRef>
              <c:f>'PIB Sectorial'!$E$9</c:f>
              <c:strCache>
                <c:ptCount val="1"/>
                <c:pt idx="0">
                  <c:v>Terciarias</c:v>
                </c:pt>
              </c:strCache>
            </c:strRef>
          </c:tx>
          <c:spPr>
            <a:solidFill>
              <a:srgbClr val="9C23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'PIB Sectorial'!$B$10:$B$22</c:f>
              <c:strCache>
                <c:ptCount val="13"/>
                <c:pt idx="0">
                  <c:v>1T-25 P</c:v>
                </c:pt>
                <c:pt idx="1">
                  <c:v>2T-25 P</c:v>
                </c:pt>
                <c:pt idx="2">
                  <c:v>3T-25 P</c:v>
                </c:pt>
                <c:pt idx="3">
                  <c:v>4T-25 P</c:v>
                </c:pt>
                <c:pt idx="4">
                  <c:v>1T-25 P</c:v>
                </c:pt>
                <c:pt idx="5">
                  <c:v>2T-25 P</c:v>
                </c:pt>
                <c:pt idx="6">
                  <c:v>3T-25 P</c:v>
                </c:pt>
                <c:pt idx="7">
                  <c:v>4T-25 P</c:v>
                </c:pt>
                <c:pt idx="8">
                  <c:v>1T-25 P</c:v>
                </c:pt>
                <c:pt idx="9">
                  <c:v>2T-25 P</c:v>
                </c:pt>
                <c:pt idx="10">
                  <c:v>3T-25 P</c:v>
                </c:pt>
                <c:pt idx="11">
                  <c:v>4T-25 P</c:v>
                </c:pt>
                <c:pt idx="12">
                  <c:v>1T-26 P</c:v>
                </c:pt>
              </c:strCache>
            </c:strRef>
          </c:cat>
          <c:val>
            <c:numRef>
              <c:f>'PIB Sectorial'!$E$10:$E$22</c:f>
              <c:numCache>
                <c:formatCode>_-"$"* #,##0_-;\-"$"* #,##0_-;_-"$"* "-"??_-;_-@_-</c:formatCode>
                <c:ptCount val="13"/>
                <c:pt idx="0">
                  <c:v>14688940.9</c:v>
                </c:pt>
                <c:pt idx="1">
                  <c:v>14820043.5</c:v>
                </c:pt>
                <c:pt idx="2">
                  <c:v>14946803</c:v>
                </c:pt>
                <c:pt idx="3">
                  <c:v>14960367.9</c:v>
                </c:pt>
                <c:pt idx="4">
                  <c:v>15131051.199999999</c:v>
                </c:pt>
                <c:pt idx="5">
                  <c:v>15155060</c:v>
                </c:pt>
                <c:pt idx="6">
                  <c:v>15281727.300000001</c:v>
                </c:pt>
                <c:pt idx="7">
                  <c:v>15253152.9</c:v>
                </c:pt>
                <c:pt idx="8">
                  <c:v>15316101.403228</c:v>
                </c:pt>
                <c:pt idx="9">
                  <c:v>15394411.489658</c:v>
                </c:pt>
                <c:pt idx="10">
                  <c:v>15435842.6920738</c:v>
                </c:pt>
                <c:pt idx="11">
                  <c:v>15548365.821992701</c:v>
                </c:pt>
                <c:pt idx="12">
                  <c:v>15490105.200177399</c:v>
                </c:pt>
              </c:numCache>
            </c:numRef>
          </c:val>
          <c:extLst>
            <c:ext xmlns:c16="http://schemas.microsoft.com/office/drawing/2014/chart" uri="{C3380CC4-5D6E-409C-BE32-E72D297353CC}">
              <c16:uniqueId val="{00000004-9F4C-4C3E-B8BE-7CA9D09FD830}"/>
            </c:ext>
          </c:extLst>
        </c:ser>
        <c:dLbls>
          <c:showLegendKey val="0"/>
          <c:showVal val="0"/>
          <c:showCatName val="0"/>
          <c:showSerName val="0"/>
          <c:showPercent val="0"/>
          <c:showBubbleSize val="0"/>
        </c:dLbls>
        <c:gapWidth val="100"/>
        <c:axId val="399461983"/>
        <c:axId val="399450751"/>
      </c:barChart>
      <c:lineChart>
        <c:grouping val="standard"/>
        <c:varyColors val="0"/>
        <c:ser>
          <c:idx val="5"/>
          <c:order val="3"/>
          <c:tx>
            <c:strRef>
              <c:f>'PIB Sectorial'!$F$9</c:f>
              <c:strCache>
                <c:ptCount val="1"/>
                <c:pt idx="0">
                  <c:v>Var. Trim. Terc.</c:v>
                </c:pt>
              </c:strCache>
            </c:strRef>
          </c:tx>
          <c:spPr>
            <a:ln w="28575" cap="rnd">
              <a:solidFill>
                <a:srgbClr val="A6802D"/>
              </a:solidFill>
              <a:round/>
            </a:ln>
            <a:effectLst/>
          </c:spPr>
          <c:marker>
            <c:symbol val="circle"/>
            <c:size val="5"/>
            <c:spPr>
              <a:solidFill>
                <a:srgbClr val="A6802D"/>
              </a:solidFill>
              <a:ln w="9525">
                <a:solidFill>
                  <a:srgbClr val="A6802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'PIB Sectorial'!$B$18:$B$22</c:f>
              <c:strCache>
                <c:ptCount val="5"/>
                <c:pt idx="0">
                  <c:v>1T-25 P</c:v>
                </c:pt>
                <c:pt idx="1">
                  <c:v>2T-25 P</c:v>
                </c:pt>
                <c:pt idx="2">
                  <c:v>3T-25 P</c:v>
                </c:pt>
                <c:pt idx="3">
                  <c:v>4T-25 P</c:v>
                </c:pt>
                <c:pt idx="4">
                  <c:v>1T-26 P</c:v>
                </c:pt>
              </c:strCache>
            </c:strRef>
          </c:cat>
          <c:val>
            <c:numRef>
              <c:f>'PIB Sectorial'!$F$10:$F$22</c:f>
              <c:numCache>
                <c:formatCode>0.0%</c:formatCode>
                <c:ptCount val="13"/>
                <c:pt idx="0">
                  <c:v>6.0000000000000001E-3</c:v>
                </c:pt>
                <c:pt idx="1">
                  <c:v>8.0000000000000002E-3</c:v>
                </c:pt>
                <c:pt idx="2">
                  <c:v>8.0000000000000002E-3</c:v>
                </c:pt>
                <c:pt idx="3">
                  <c:v>0</c:v>
                </c:pt>
                <c:pt idx="4">
                  <c:v>6.0000000000000001E-3</c:v>
                </c:pt>
                <c:pt idx="5">
                  <c:v>0</c:v>
                </c:pt>
                <c:pt idx="6">
                  <c:v>1.1000000000000001E-2</c:v>
                </c:pt>
                <c:pt idx="7">
                  <c:v>-1.1000000000000001E-2</c:v>
                </c:pt>
                <c:pt idx="8">
                  <c:v>6.0000000000000001E-3</c:v>
                </c:pt>
                <c:pt idx="9">
                  <c:v>3.0000000000000001E-3</c:v>
                </c:pt>
                <c:pt idx="10">
                  <c:v>-1E-3</c:v>
                </c:pt>
                <c:pt idx="11">
                  <c:v>6.9999999999999993E-3</c:v>
                </c:pt>
                <c:pt idx="12">
                  <c:v>-6.0000000000000001E-3</c:v>
                </c:pt>
              </c:numCache>
            </c:numRef>
          </c:val>
          <c:smooth val="0"/>
          <c:extLst>
            <c:ext xmlns:c16="http://schemas.microsoft.com/office/drawing/2014/chart" uri="{C3380CC4-5D6E-409C-BE32-E72D297353CC}">
              <c16:uniqueId val="{00000005-9F4C-4C3E-B8BE-7CA9D09FD830}"/>
            </c:ext>
          </c:extLst>
        </c:ser>
        <c:dLbls>
          <c:showLegendKey val="0"/>
          <c:showVal val="0"/>
          <c:showCatName val="0"/>
          <c:showSerName val="0"/>
          <c:showPercent val="0"/>
          <c:showBubbleSize val="0"/>
        </c:dLbls>
        <c:marker val="1"/>
        <c:smooth val="0"/>
        <c:axId val="537400271"/>
        <c:axId val="537404015"/>
      </c:lineChart>
      <c:catAx>
        <c:axId val="39946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399450751"/>
        <c:crosses val="autoZero"/>
        <c:auto val="1"/>
        <c:lblAlgn val="ctr"/>
        <c:lblOffset val="100"/>
        <c:noMultiLvlLbl val="0"/>
      </c:catAx>
      <c:valAx>
        <c:axId val="399450751"/>
        <c:scaling>
          <c:orientation val="minMax"/>
          <c:max val="2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Millones de pesos a precios de 2018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399461983"/>
        <c:crosses val="autoZero"/>
        <c:crossBetween val="between"/>
      </c:valAx>
      <c:valAx>
        <c:axId val="537404015"/>
        <c:scaling>
          <c:orientation val="minMax"/>
        </c:scaling>
        <c:delete val="0"/>
        <c:axPos val="r"/>
        <c:numFmt formatCode="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537400271"/>
        <c:crosses val="max"/>
        <c:crossBetween val="between"/>
      </c:valAx>
      <c:catAx>
        <c:axId val="537400271"/>
        <c:scaling>
          <c:orientation val="minMax"/>
        </c:scaling>
        <c:delete val="1"/>
        <c:axPos val="b"/>
        <c:numFmt formatCode="General" sourceLinked="1"/>
        <c:majorTickMark val="out"/>
        <c:minorTickMark val="none"/>
        <c:tickLblPos val="nextTo"/>
        <c:crossAx val="5374040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Indicador Global de Actividad Económica (cifras desestacionalizadas)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lineChart>
        <c:grouping val="standard"/>
        <c:varyColors val="0"/>
        <c:ser>
          <c:idx val="0"/>
          <c:order val="0"/>
          <c:tx>
            <c:strRef>
              <c:f>IGAE!$C$9</c:f>
              <c:strCache>
                <c:ptCount val="1"/>
                <c:pt idx="0">
                  <c:v>Índice de volumen físico</c:v>
                </c:pt>
              </c:strCache>
            </c:strRef>
          </c:tx>
          <c:spPr>
            <a:ln w="38100" cap="rnd">
              <a:solidFill>
                <a:srgbClr val="1E5B4F"/>
              </a:solidFill>
              <a:round/>
            </a:ln>
            <a:effectLst/>
          </c:spPr>
          <c:marker>
            <c:symbol val="circle"/>
            <c:size val="5"/>
            <c:spPr>
              <a:solidFill>
                <a:srgbClr val="1E5B4F"/>
              </a:solidFill>
              <a:ln w="19050">
                <a:solidFill>
                  <a:srgbClr val="1E5B4F"/>
                </a:solidFill>
              </a:ln>
              <a:effectLst/>
            </c:spPr>
          </c:marker>
          <c:dLbls>
            <c:dLbl>
              <c:idx val="7"/>
              <c:delete val="1"/>
              <c:extLst>
                <c:ext xmlns:c15="http://schemas.microsoft.com/office/drawing/2012/chart" uri="{CE6537A1-D6FC-4f65-9D91-7224C49458BB}"/>
                <c:ext xmlns:c16="http://schemas.microsoft.com/office/drawing/2014/chart" uri="{C3380CC4-5D6E-409C-BE32-E72D297353CC}">
                  <c16:uniqueId val="{00000006-A64F-4FDD-9606-FA712A045DDE}"/>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4F-4FDD-9606-FA712A045DDE}"/>
                </c:ext>
              </c:extLst>
            </c:dLbl>
            <c:dLbl>
              <c:idx val="1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4F-4FDD-9606-FA712A045D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IGAE!$B$10:$B$21</c:f>
              <c:strCache>
                <c:ptCount val="12"/>
                <c:pt idx="0">
                  <c:v>May 25 R</c:v>
                </c:pt>
                <c:pt idx="1">
                  <c:v>Jun 25 R</c:v>
                </c:pt>
                <c:pt idx="2">
                  <c:v>Jul 25 R</c:v>
                </c:pt>
                <c:pt idx="3">
                  <c:v>Ago 25 R</c:v>
                </c:pt>
                <c:pt idx="4">
                  <c:v>Sep 25 R</c:v>
                </c:pt>
                <c:pt idx="5">
                  <c:v>Oct 25 R</c:v>
                </c:pt>
                <c:pt idx="6">
                  <c:v>Nov 25 R</c:v>
                </c:pt>
                <c:pt idx="7">
                  <c:v>Dic 25 R</c:v>
                </c:pt>
                <c:pt idx="8">
                  <c:v>Ene 26 R</c:v>
                </c:pt>
                <c:pt idx="9">
                  <c:v>Feb 26 R</c:v>
                </c:pt>
                <c:pt idx="10">
                  <c:v>Mar 26 P</c:v>
                </c:pt>
                <c:pt idx="11">
                  <c:v>Abr 26 P</c:v>
                </c:pt>
              </c:strCache>
            </c:strRef>
          </c:cat>
          <c:val>
            <c:numRef>
              <c:f>IGAE!$C$10:$C$21</c:f>
              <c:numCache>
                <c:formatCode>0.0</c:formatCode>
                <c:ptCount val="12"/>
                <c:pt idx="0">
                  <c:v>104.977621139718</c:v>
                </c:pt>
                <c:pt idx="1">
                  <c:v>105.036749181744</c:v>
                </c:pt>
                <c:pt idx="2">
                  <c:v>104.454057193007</c:v>
                </c:pt>
                <c:pt idx="3">
                  <c:v>104.96472936225901</c:v>
                </c:pt>
                <c:pt idx="4">
                  <c:v>104.52708789217</c:v>
                </c:pt>
                <c:pt idx="5">
                  <c:v>105.575132119142</c:v>
                </c:pt>
                <c:pt idx="6">
                  <c:v>105.476142839221</c:v>
                </c:pt>
                <c:pt idx="7">
                  <c:v>105.86908901784901</c:v>
                </c:pt>
                <c:pt idx="8">
                  <c:v>104.772484415695</c:v>
                </c:pt>
                <c:pt idx="9">
                  <c:v>105.07262020187601</c:v>
                </c:pt>
                <c:pt idx="10">
                  <c:v>105.660228515201</c:v>
                </c:pt>
                <c:pt idx="11">
                  <c:v>106.927124418255</c:v>
                </c:pt>
              </c:numCache>
            </c:numRef>
          </c:val>
          <c:smooth val="0"/>
          <c:extLst>
            <c:ext xmlns:c16="http://schemas.microsoft.com/office/drawing/2014/chart" uri="{C3380CC4-5D6E-409C-BE32-E72D297353CC}">
              <c16:uniqueId val="{00000000-A64F-4FDD-9606-FA712A045DDE}"/>
            </c:ext>
          </c:extLst>
        </c:ser>
        <c:ser>
          <c:idx val="1"/>
          <c:order val="1"/>
          <c:tx>
            <c:strRef>
              <c:f>IGAE!$D$9</c:f>
              <c:strCache>
                <c:ptCount val="1"/>
                <c:pt idx="0">
                  <c:v>Act. Secundarias</c:v>
                </c:pt>
              </c:strCache>
            </c:strRef>
          </c:tx>
          <c:spPr>
            <a:ln w="28575" cap="rnd">
              <a:solidFill>
                <a:srgbClr val="A6802D"/>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36-4E52-AA91-1278ABE177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IGAE!$B$10:$B$21</c:f>
              <c:strCache>
                <c:ptCount val="12"/>
                <c:pt idx="0">
                  <c:v>May 25 R</c:v>
                </c:pt>
                <c:pt idx="1">
                  <c:v>Jun 25 R</c:v>
                </c:pt>
                <c:pt idx="2">
                  <c:v>Jul 25 R</c:v>
                </c:pt>
                <c:pt idx="3">
                  <c:v>Ago 25 R</c:v>
                </c:pt>
                <c:pt idx="4">
                  <c:v>Sep 25 R</c:v>
                </c:pt>
                <c:pt idx="5">
                  <c:v>Oct 25 R</c:v>
                </c:pt>
                <c:pt idx="6">
                  <c:v>Nov 25 R</c:v>
                </c:pt>
                <c:pt idx="7">
                  <c:v>Dic 25 R</c:v>
                </c:pt>
                <c:pt idx="8">
                  <c:v>Ene 26 R</c:v>
                </c:pt>
                <c:pt idx="9">
                  <c:v>Feb 26 R</c:v>
                </c:pt>
                <c:pt idx="10">
                  <c:v>Mar 26 P</c:v>
                </c:pt>
                <c:pt idx="11">
                  <c:v>Abr 26 P</c:v>
                </c:pt>
              </c:strCache>
            </c:strRef>
          </c:cat>
          <c:val>
            <c:numRef>
              <c:f>IGAE!$D$10:$D$21</c:f>
              <c:numCache>
                <c:formatCode>0.0</c:formatCode>
                <c:ptCount val="12"/>
                <c:pt idx="0">
                  <c:v>104.4</c:v>
                </c:pt>
                <c:pt idx="1">
                  <c:v>100.87</c:v>
                </c:pt>
                <c:pt idx="2">
                  <c:v>101.58</c:v>
                </c:pt>
                <c:pt idx="3">
                  <c:v>101.39</c:v>
                </c:pt>
                <c:pt idx="4">
                  <c:v>99.56</c:v>
                </c:pt>
                <c:pt idx="5">
                  <c:v>104.81</c:v>
                </c:pt>
                <c:pt idx="6">
                  <c:v>101.45</c:v>
                </c:pt>
                <c:pt idx="7">
                  <c:v>98.38</c:v>
                </c:pt>
                <c:pt idx="8">
                  <c:v>96.62</c:v>
                </c:pt>
                <c:pt idx="9">
                  <c:v>95.8</c:v>
                </c:pt>
                <c:pt idx="10">
                  <c:v>102.75</c:v>
                </c:pt>
                <c:pt idx="11">
                  <c:v>102.52</c:v>
                </c:pt>
              </c:numCache>
            </c:numRef>
          </c:val>
          <c:smooth val="0"/>
          <c:extLst>
            <c:ext xmlns:c16="http://schemas.microsoft.com/office/drawing/2014/chart" uri="{C3380CC4-5D6E-409C-BE32-E72D297353CC}">
              <c16:uniqueId val="{00000001-A64F-4FDD-9606-FA712A045DDE}"/>
            </c:ext>
          </c:extLst>
        </c:ser>
        <c:ser>
          <c:idx val="2"/>
          <c:order val="2"/>
          <c:tx>
            <c:strRef>
              <c:f>IGAE!$E$9</c:f>
              <c:strCache>
                <c:ptCount val="1"/>
                <c:pt idx="0">
                  <c:v>Act. Terciarias</c:v>
                </c:pt>
              </c:strCache>
            </c:strRef>
          </c:tx>
          <c:spPr>
            <a:ln w="28575" cap="rnd">
              <a:solidFill>
                <a:srgbClr val="9C2348"/>
              </a:solidFill>
              <a:round/>
            </a:ln>
            <a:effectLst/>
          </c:spPr>
          <c:marker>
            <c:symbol val="circle"/>
            <c:size val="5"/>
            <c:spPr>
              <a:solidFill>
                <a:srgbClr val="9C2348"/>
              </a:solidFill>
              <a:ln w="9525">
                <a:solidFill>
                  <a:srgbClr val="9C2348"/>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4E9C-4D1F-A253-2C8DC3240688}"/>
                </c:ext>
              </c:extLst>
            </c:dLbl>
            <c:dLbl>
              <c:idx val="3"/>
              <c:delete val="1"/>
              <c:extLst>
                <c:ext xmlns:c15="http://schemas.microsoft.com/office/drawing/2012/chart" uri="{CE6537A1-D6FC-4f65-9D91-7224C49458BB}"/>
                <c:ext xmlns:c16="http://schemas.microsoft.com/office/drawing/2014/chart" uri="{C3380CC4-5D6E-409C-BE32-E72D297353CC}">
                  <c16:uniqueId val="{00000002-4E9C-4D1F-A253-2C8DC3240688}"/>
                </c:ext>
              </c:extLst>
            </c:dLbl>
            <c:dLbl>
              <c:idx val="1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9C-4D1F-A253-2C8DC32406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IGAE!$B$10:$B$21</c:f>
              <c:strCache>
                <c:ptCount val="12"/>
                <c:pt idx="0">
                  <c:v>May 25 R</c:v>
                </c:pt>
                <c:pt idx="1">
                  <c:v>Jun 25 R</c:v>
                </c:pt>
                <c:pt idx="2">
                  <c:v>Jul 25 R</c:v>
                </c:pt>
                <c:pt idx="3">
                  <c:v>Ago 25 R</c:v>
                </c:pt>
                <c:pt idx="4">
                  <c:v>Sep 25 R</c:v>
                </c:pt>
                <c:pt idx="5">
                  <c:v>Oct 25 R</c:v>
                </c:pt>
                <c:pt idx="6">
                  <c:v>Nov 25 R</c:v>
                </c:pt>
                <c:pt idx="7">
                  <c:v>Dic 25 R</c:v>
                </c:pt>
                <c:pt idx="8">
                  <c:v>Ene 26 R</c:v>
                </c:pt>
                <c:pt idx="9">
                  <c:v>Feb 26 R</c:v>
                </c:pt>
                <c:pt idx="10">
                  <c:v>Mar 26 P</c:v>
                </c:pt>
                <c:pt idx="11">
                  <c:v>Abr 26 P</c:v>
                </c:pt>
              </c:strCache>
            </c:strRef>
          </c:cat>
          <c:val>
            <c:numRef>
              <c:f>IGAE!$E$10:$E$21</c:f>
              <c:numCache>
                <c:formatCode>0.0</c:formatCode>
                <c:ptCount val="12"/>
                <c:pt idx="0">
                  <c:v>106.8</c:v>
                </c:pt>
                <c:pt idx="1">
                  <c:v>107</c:v>
                </c:pt>
                <c:pt idx="2">
                  <c:v>106.9</c:v>
                </c:pt>
                <c:pt idx="3">
                  <c:v>107.4</c:v>
                </c:pt>
                <c:pt idx="4">
                  <c:v>107</c:v>
                </c:pt>
                <c:pt idx="5">
                  <c:v>108.2</c:v>
                </c:pt>
                <c:pt idx="6">
                  <c:v>107.8</c:v>
                </c:pt>
                <c:pt idx="7">
                  <c:v>108</c:v>
                </c:pt>
                <c:pt idx="8">
                  <c:v>107.4</c:v>
                </c:pt>
                <c:pt idx="9">
                  <c:v>107.5</c:v>
                </c:pt>
                <c:pt idx="10">
                  <c:v>108.5</c:v>
                </c:pt>
                <c:pt idx="11">
                  <c:v>109.2</c:v>
                </c:pt>
              </c:numCache>
            </c:numRef>
          </c:val>
          <c:smooth val="0"/>
          <c:extLst>
            <c:ext xmlns:c16="http://schemas.microsoft.com/office/drawing/2014/chart" uri="{C3380CC4-5D6E-409C-BE32-E72D297353CC}">
              <c16:uniqueId val="{00000000-4E9C-4D1F-A253-2C8DC3240688}"/>
            </c:ext>
          </c:extLst>
        </c:ser>
        <c:dLbls>
          <c:showLegendKey val="0"/>
          <c:showVal val="0"/>
          <c:showCatName val="0"/>
          <c:showSerName val="0"/>
          <c:showPercent val="0"/>
          <c:showBubbleSize val="0"/>
        </c:dLbls>
        <c:marker val="1"/>
        <c:smooth val="0"/>
        <c:axId val="1119866432"/>
        <c:axId val="1119873088"/>
      </c:lineChart>
      <c:catAx>
        <c:axId val="11198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119873088"/>
        <c:crosses val="autoZero"/>
        <c:auto val="1"/>
        <c:lblAlgn val="ctr"/>
        <c:lblOffset val="100"/>
        <c:noMultiLvlLbl val="0"/>
      </c:catAx>
      <c:valAx>
        <c:axId val="1119873088"/>
        <c:scaling>
          <c:orientation val="minMax"/>
          <c:min val="9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119866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Indicador Mensual de Actividad Industrial, cifras</a:t>
            </a:r>
            <a:r>
              <a:rPr lang="es-MX" sz="1600" b="1" baseline="0"/>
              <a:t> desestacionalizadas</a:t>
            </a:r>
            <a:r>
              <a:rPr lang="es-MX" sz="1600" b="1"/>
              <a:t> (Base 100 = 2018)</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barChart>
        <c:barDir val="col"/>
        <c:grouping val="clustered"/>
        <c:varyColors val="0"/>
        <c:ser>
          <c:idx val="0"/>
          <c:order val="0"/>
          <c:tx>
            <c:strRef>
              <c:f>IMAI!$C$9</c:f>
              <c:strCache>
                <c:ptCount val="1"/>
                <c:pt idx="0">
                  <c:v>Índice de volumen físico</c:v>
                </c:pt>
              </c:strCache>
            </c:strRef>
          </c:tx>
          <c:spPr>
            <a:solidFill>
              <a:srgbClr val="1E5B4F"/>
            </a:solidFill>
            <a:ln>
              <a:noFill/>
            </a:ln>
            <a:effectLst/>
          </c:spPr>
          <c:invertIfNegative val="0"/>
          <c:dPt>
            <c:idx val="4"/>
            <c:invertIfNegative val="0"/>
            <c:bubble3D val="0"/>
            <c:spPr>
              <a:solidFill>
                <a:srgbClr val="9C2348"/>
              </a:solidFill>
              <a:ln>
                <a:noFill/>
              </a:ln>
              <a:effectLst/>
            </c:spPr>
            <c:extLst>
              <c:ext xmlns:c16="http://schemas.microsoft.com/office/drawing/2014/chart" uri="{C3380CC4-5D6E-409C-BE32-E72D297353CC}">
                <c16:uniqueId val="{00000002-EEB4-4055-8392-B8B478026537}"/>
              </c:ext>
            </c:extLst>
          </c:dPt>
          <c:dLbls>
            <c:dLbl>
              <c:idx val="9"/>
              <c:spPr>
                <a:noFill/>
                <a:ln>
                  <a:noFill/>
                </a:ln>
                <a:effectLst/>
              </c:spPr>
              <c:txPr>
                <a:bodyPr rot="0" spcFirstLastPara="1" vertOverflow="ellipsis" vert="horz" wrap="square" anchor="ctr" anchorCtr="1"/>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extLst>
                <c:ext xmlns:c16="http://schemas.microsoft.com/office/drawing/2014/chart" uri="{C3380CC4-5D6E-409C-BE32-E72D297353CC}">
                  <c16:uniqueId val="{00000009-EEB4-4055-8392-B8B478026537}"/>
                </c:ext>
              </c:extLst>
            </c:dLbl>
            <c:dLbl>
              <c:idx val="1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B4-4055-8392-B8B47802653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IMAI!$B$10:$B$21</c:f>
              <c:strCache>
                <c:ptCount val="12"/>
                <c:pt idx="0">
                  <c:v>May 25 P</c:v>
                </c:pt>
                <c:pt idx="1">
                  <c:v>Jun 25 P</c:v>
                </c:pt>
                <c:pt idx="2">
                  <c:v>Jul 25 P</c:v>
                </c:pt>
                <c:pt idx="3">
                  <c:v>Ago 25 P</c:v>
                </c:pt>
                <c:pt idx="4">
                  <c:v>Sep 25 P</c:v>
                </c:pt>
                <c:pt idx="5">
                  <c:v>Oct 25 P</c:v>
                </c:pt>
                <c:pt idx="6">
                  <c:v>Nov 25 P</c:v>
                </c:pt>
                <c:pt idx="7">
                  <c:v>Dic 25 P</c:v>
                </c:pt>
                <c:pt idx="8">
                  <c:v>Ene 26 P</c:v>
                </c:pt>
                <c:pt idx="9">
                  <c:v>Feb 26 P</c:v>
                </c:pt>
                <c:pt idx="10">
                  <c:v>Mar 26 P</c:v>
                </c:pt>
                <c:pt idx="11">
                  <c:v>Abr 26 P</c:v>
                </c:pt>
              </c:strCache>
            </c:strRef>
          </c:cat>
          <c:val>
            <c:numRef>
              <c:f>IMAI!$C$10:$C$21</c:f>
              <c:numCache>
                <c:formatCode>0.0</c:formatCode>
                <c:ptCount val="12"/>
                <c:pt idx="0">
                  <c:v>101.6</c:v>
                </c:pt>
                <c:pt idx="1">
                  <c:v>101.2</c:v>
                </c:pt>
                <c:pt idx="2">
                  <c:v>100.2</c:v>
                </c:pt>
                <c:pt idx="3">
                  <c:v>100</c:v>
                </c:pt>
                <c:pt idx="4">
                  <c:v>99.9</c:v>
                </c:pt>
                <c:pt idx="5">
                  <c:v>100.7</c:v>
                </c:pt>
                <c:pt idx="6">
                  <c:v>101.3</c:v>
                </c:pt>
                <c:pt idx="7">
                  <c:v>100.4</c:v>
                </c:pt>
                <c:pt idx="8">
                  <c:v>100.8</c:v>
                </c:pt>
                <c:pt idx="9">
                  <c:v>104.4568568234</c:v>
                </c:pt>
                <c:pt idx="10">
                  <c:v>100.3</c:v>
                </c:pt>
                <c:pt idx="11">
                  <c:v>102.4</c:v>
                </c:pt>
              </c:numCache>
            </c:numRef>
          </c:val>
          <c:extLst>
            <c:ext xmlns:c16="http://schemas.microsoft.com/office/drawing/2014/chart" uri="{C3380CC4-5D6E-409C-BE32-E72D297353CC}">
              <c16:uniqueId val="{00000000-EEB4-4055-8392-B8B478026537}"/>
            </c:ext>
          </c:extLst>
        </c:ser>
        <c:dLbls>
          <c:showLegendKey val="0"/>
          <c:showVal val="0"/>
          <c:showCatName val="0"/>
          <c:showSerName val="0"/>
          <c:showPercent val="0"/>
          <c:showBubbleSize val="0"/>
        </c:dLbls>
        <c:gapWidth val="100"/>
        <c:overlap val="-27"/>
        <c:axId val="604682431"/>
        <c:axId val="604685759"/>
      </c:barChart>
      <c:lineChart>
        <c:grouping val="standard"/>
        <c:varyColors val="0"/>
        <c:ser>
          <c:idx val="1"/>
          <c:order val="1"/>
          <c:tx>
            <c:strRef>
              <c:f>IMAI!$D$9</c:f>
              <c:strCache>
                <c:ptCount val="1"/>
                <c:pt idx="0">
                  <c:v>Var. mensual (%)</c:v>
                </c:pt>
              </c:strCache>
            </c:strRef>
          </c:tx>
          <c:spPr>
            <a:ln w="28575" cap="rnd">
              <a:solidFill>
                <a:srgbClr val="A6802D"/>
              </a:solidFill>
              <a:round/>
            </a:ln>
            <a:effectLst/>
          </c:spPr>
          <c:marker>
            <c:symbol val="circle"/>
            <c:size val="5"/>
            <c:spPr>
              <a:solidFill>
                <a:srgbClr val="A6802D"/>
              </a:solidFill>
              <a:ln w="9525">
                <a:solidFill>
                  <a:srgbClr val="A6802D"/>
                </a:solidFill>
              </a:ln>
              <a:effectLst/>
            </c:spPr>
          </c:marker>
          <c:dLbls>
            <c:dLbl>
              <c:idx val="2"/>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B4-4055-8392-B8B478026537}"/>
                </c:ext>
              </c:extLst>
            </c:dLbl>
            <c:dLbl>
              <c:idx val="6"/>
              <c:delete val="1"/>
              <c:extLst>
                <c:ext xmlns:c15="http://schemas.microsoft.com/office/drawing/2012/chart" uri="{CE6537A1-D6FC-4f65-9D91-7224C49458BB}"/>
                <c:ext xmlns:c16="http://schemas.microsoft.com/office/drawing/2014/chart" uri="{C3380CC4-5D6E-409C-BE32-E72D297353CC}">
                  <c16:uniqueId val="{00000004-EEB4-4055-8392-B8B478026537}"/>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B4-4055-8392-B8B478026537}"/>
                </c:ext>
              </c:extLst>
            </c:dLbl>
            <c:dLbl>
              <c:idx val="9"/>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EB4-4055-8392-B8B478026537}"/>
                </c:ext>
              </c:extLst>
            </c:dLbl>
            <c:dLbl>
              <c:idx val="1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B4-4055-8392-B8B47802653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IMAI!$B$10:$B$21</c:f>
              <c:strCache>
                <c:ptCount val="12"/>
                <c:pt idx="0">
                  <c:v>May 25 P</c:v>
                </c:pt>
                <c:pt idx="1">
                  <c:v>Jun 25 P</c:v>
                </c:pt>
                <c:pt idx="2">
                  <c:v>Jul 25 P</c:v>
                </c:pt>
                <c:pt idx="3">
                  <c:v>Ago 25 P</c:v>
                </c:pt>
                <c:pt idx="4">
                  <c:v>Sep 25 P</c:v>
                </c:pt>
                <c:pt idx="5">
                  <c:v>Oct 25 P</c:v>
                </c:pt>
                <c:pt idx="6">
                  <c:v>Nov 25 P</c:v>
                </c:pt>
                <c:pt idx="7">
                  <c:v>Dic 25 P</c:v>
                </c:pt>
                <c:pt idx="8">
                  <c:v>Ene 26 P</c:v>
                </c:pt>
                <c:pt idx="9">
                  <c:v>Feb 26 P</c:v>
                </c:pt>
                <c:pt idx="10">
                  <c:v>Mar 26 P</c:v>
                </c:pt>
                <c:pt idx="11">
                  <c:v>Abr 26 P</c:v>
                </c:pt>
              </c:strCache>
            </c:strRef>
          </c:cat>
          <c:val>
            <c:numRef>
              <c:f>IMAI!$D$10:$D$21</c:f>
              <c:numCache>
                <c:formatCode>0.0%</c:formatCode>
                <c:ptCount val="12"/>
                <c:pt idx="0">
                  <c:v>8.9999999999999998E-4</c:v>
                </c:pt>
                <c:pt idx="1">
                  <c:v>-3.93700787401563E-3</c:v>
                </c:pt>
                <c:pt idx="2">
                  <c:v>-9.8814229249012397E-3</c:v>
                </c:pt>
                <c:pt idx="3">
                  <c:v>-1.9960079840319889E-3</c:v>
                </c:pt>
                <c:pt idx="4">
                  <c:v>-9.9999999999988987E-4</c:v>
                </c:pt>
                <c:pt idx="5">
                  <c:v>8.0080080080080496E-3</c:v>
                </c:pt>
                <c:pt idx="6">
                  <c:v>5.9582919563057057E-3</c:v>
                </c:pt>
                <c:pt idx="7">
                  <c:v>-8.884501480750151E-3</c:v>
                </c:pt>
                <c:pt idx="8">
                  <c:v>3.9840637450199168E-3</c:v>
                </c:pt>
                <c:pt idx="9">
                  <c:v>3.6278341501984279E-2</c:v>
                </c:pt>
                <c:pt idx="10">
                  <c:v>-3.9794963679864459E-2</c:v>
                </c:pt>
                <c:pt idx="11">
                  <c:v>2.0937188434696052E-2</c:v>
                </c:pt>
              </c:numCache>
            </c:numRef>
          </c:val>
          <c:smooth val="0"/>
          <c:extLst>
            <c:ext xmlns:c16="http://schemas.microsoft.com/office/drawing/2014/chart" uri="{C3380CC4-5D6E-409C-BE32-E72D297353CC}">
              <c16:uniqueId val="{00000001-EEB4-4055-8392-B8B478026537}"/>
            </c:ext>
          </c:extLst>
        </c:ser>
        <c:dLbls>
          <c:showLegendKey val="0"/>
          <c:showVal val="0"/>
          <c:showCatName val="0"/>
          <c:showSerName val="0"/>
          <c:showPercent val="0"/>
          <c:showBubbleSize val="0"/>
        </c:dLbls>
        <c:marker val="1"/>
        <c:smooth val="0"/>
        <c:axId val="604692831"/>
        <c:axId val="604672863"/>
      </c:lineChart>
      <c:catAx>
        <c:axId val="6046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604685759"/>
        <c:crosses val="autoZero"/>
        <c:auto val="1"/>
        <c:lblAlgn val="ctr"/>
        <c:lblOffset val="100"/>
        <c:noMultiLvlLbl val="0"/>
      </c:catAx>
      <c:valAx>
        <c:axId val="60468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Índice de volumen físico base 100 = 2018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604682431"/>
        <c:crosses val="autoZero"/>
        <c:crossBetween val="between"/>
      </c:valAx>
      <c:valAx>
        <c:axId val="604672863"/>
        <c:scaling>
          <c:orientation val="minMax"/>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604692831"/>
        <c:crosses val="max"/>
        <c:crossBetween val="between"/>
      </c:valAx>
      <c:catAx>
        <c:axId val="604692831"/>
        <c:scaling>
          <c:orientation val="minMax"/>
        </c:scaling>
        <c:delete val="1"/>
        <c:axPos val="b"/>
        <c:numFmt formatCode="General" sourceLinked="1"/>
        <c:majorTickMark val="none"/>
        <c:minorTickMark val="none"/>
        <c:tickLblPos val="nextTo"/>
        <c:crossAx val="6046728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Exportaciones 2024</a:t>
            </a:r>
            <a:r>
              <a:rPr lang="es-MX" baseline="0"/>
              <a:t> - 2026, millones de dólares</a:t>
            </a:r>
            <a:r>
              <a:rPr lang="es-MX"/>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Exportaciones!$C$9</c:f>
              <c:strCache>
                <c:ptCount val="1"/>
                <c:pt idx="0">
                  <c:v>Exportaciones</c:v>
                </c:pt>
              </c:strCache>
            </c:strRef>
          </c:tx>
          <c:spPr>
            <a:solidFill>
              <a:srgbClr val="1E5B4F"/>
            </a:solidFill>
            <a:ln>
              <a:solidFill>
                <a:srgbClr val="1E5B4F"/>
              </a:solidFill>
            </a:ln>
            <a:effectLst/>
          </c:spPr>
          <c:invertIfNegative val="0"/>
          <c:cat>
            <c:strRef>
              <c:f>Exportaciones!$B$10:$B$34</c:f>
              <c:strCache>
                <c:ptCount val="25"/>
                <c:pt idx="0">
                  <c:v>May 24</c:v>
                </c:pt>
                <c:pt idx="1">
                  <c:v>Jun 24</c:v>
                </c:pt>
                <c:pt idx="2">
                  <c:v>Jul 24</c:v>
                </c:pt>
                <c:pt idx="3">
                  <c:v>Ago 24</c:v>
                </c:pt>
                <c:pt idx="4">
                  <c:v>Sep 24</c:v>
                </c:pt>
                <c:pt idx="5">
                  <c:v>Oct 24</c:v>
                </c:pt>
                <c:pt idx="6">
                  <c:v>Nov 24</c:v>
                </c:pt>
                <c:pt idx="7">
                  <c:v>Dic 24</c:v>
                </c:pt>
                <c:pt idx="8">
                  <c:v>Ene 25</c:v>
                </c:pt>
                <c:pt idx="9">
                  <c:v>Feb 25</c:v>
                </c:pt>
                <c:pt idx="10">
                  <c:v>Mar 25</c:v>
                </c:pt>
                <c:pt idx="11">
                  <c:v>Abr 25</c:v>
                </c:pt>
                <c:pt idx="12">
                  <c:v>May 25</c:v>
                </c:pt>
                <c:pt idx="13">
                  <c:v>Jun 25</c:v>
                </c:pt>
                <c:pt idx="14">
                  <c:v>Jul 25</c:v>
                </c:pt>
                <c:pt idx="15">
                  <c:v>Ago 25</c:v>
                </c:pt>
                <c:pt idx="16">
                  <c:v>Sep 25</c:v>
                </c:pt>
                <c:pt idx="17">
                  <c:v>Oct 25</c:v>
                </c:pt>
                <c:pt idx="18">
                  <c:v>Nov 25</c:v>
                </c:pt>
                <c:pt idx="19">
                  <c:v>Dic 25</c:v>
                </c:pt>
                <c:pt idx="20">
                  <c:v>Ene 26</c:v>
                </c:pt>
                <c:pt idx="21">
                  <c:v>Feb 26</c:v>
                </c:pt>
                <c:pt idx="22">
                  <c:v>Mar 26</c:v>
                </c:pt>
                <c:pt idx="23">
                  <c:v>Abr 26</c:v>
                </c:pt>
                <c:pt idx="24">
                  <c:v>May 26 O</c:v>
                </c:pt>
              </c:strCache>
            </c:strRef>
          </c:cat>
          <c:val>
            <c:numRef>
              <c:f>Exportaciones!$C$10:$C$34</c:f>
              <c:numCache>
                <c:formatCode>_-"$"* #,##0_-;\-"$"* #,##0_-;_-"$"* "-"??_-;_-@_-</c:formatCode>
                <c:ptCount val="25"/>
                <c:pt idx="0">
                  <c:v>55754.040999999997</c:v>
                </c:pt>
                <c:pt idx="1">
                  <c:v>48824.267999999996</c:v>
                </c:pt>
                <c:pt idx="2">
                  <c:v>54550.711000000003</c:v>
                </c:pt>
                <c:pt idx="3">
                  <c:v>51902.527999999998</c:v>
                </c:pt>
                <c:pt idx="4">
                  <c:v>49629.743000000002</c:v>
                </c:pt>
                <c:pt idx="5">
                  <c:v>57897.71</c:v>
                </c:pt>
                <c:pt idx="6">
                  <c:v>52264.794000000002</c:v>
                </c:pt>
                <c:pt idx="7">
                  <c:v>51754.358999999997</c:v>
                </c:pt>
                <c:pt idx="8">
                  <c:v>44398.267</c:v>
                </c:pt>
                <c:pt idx="9">
                  <c:v>49098.535000000003</c:v>
                </c:pt>
                <c:pt idx="10">
                  <c:v>55404.972000000002</c:v>
                </c:pt>
                <c:pt idx="11">
                  <c:v>54347.764000000003</c:v>
                </c:pt>
                <c:pt idx="12">
                  <c:v>55476.735000000001</c:v>
                </c:pt>
                <c:pt idx="13">
                  <c:v>54001.826999999997</c:v>
                </c:pt>
                <c:pt idx="14">
                  <c:v>56707.773999999998</c:v>
                </c:pt>
                <c:pt idx="15">
                  <c:v>55718.184000000001</c:v>
                </c:pt>
                <c:pt idx="16">
                  <c:v>56487.938000000002</c:v>
                </c:pt>
                <c:pt idx="17">
                  <c:v>66132.551000000007</c:v>
                </c:pt>
                <c:pt idx="18">
                  <c:v>56411.894</c:v>
                </c:pt>
                <c:pt idx="19">
                  <c:v>60650.726999999999</c:v>
                </c:pt>
                <c:pt idx="20">
                  <c:v>48007.822999999997</c:v>
                </c:pt>
                <c:pt idx="21">
                  <c:v>56851.118999999999</c:v>
                </c:pt>
                <c:pt idx="22">
                  <c:v>70727.019</c:v>
                </c:pt>
                <c:pt idx="23">
                  <c:v>72041.828999999998</c:v>
                </c:pt>
                <c:pt idx="24">
                  <c:v>69544.490999999995</c:v>
                </c:pt>
              </c:numCache>
            </c:numRef>
          </c:val>
          <c:extLst>
            <c:ext xmlns:c16="http://schemas.microsoft.com/office/drawing/2014/chart" uri="{C3380CC4-5D6E-409C-BE32-E72D297353CC}">
              <c16:uniqueId val="{00000000-A54E-E04E-B3C3-25F6DF94E310}"/>
            </c:ext>
          </c:extLst>
        </c:ser>
        <c:dLbls>
          <c:showLegendKey val="0"/>
          <c:showVal val="0"/>
          <c:showCatName val="0"/>
          <c:showSerName val="0"/>
          <c:showPercent val="0"/>
          <c:showBubbleSize val="0"/>
        </c:dLbls>
        <c:gapWidth val="100"/>
        <c:overlap val="-27"/>
        <c:axId val="477923072"/>
        <c:axId val="477921280"/>
      </c:barChart>
      <c:lineChart>
        <c:grouping val="standard"/>
        <c:varyColors val="0"/>
        <c:ser>
          <c:idx val="1"/>
          <c:order val="1"/>
          <c:tx>
            <c:strRef>
              <c:f>Exportaciones!$D$9</c:f>
              <c:strCache>
                <c:ptCount val="1"/>
                <c:pt idx="0">
                  <c:v>Var. Anual </c:v>
                </c:pt>
              </c:strCache>
            </c:strRef>
          </c:tx>
          <c:spPr>
            <a:ln w="38100" cap="rnd">
              <a:solidFill>
                <a:srgbClr val="A6802D"/>
              </a:solidFill>
              <a:round/>
            </a:ln>
            <a:effectLst/>
          </c:spPr>
          <c:marker>
            <c:symbol val="none"/>
          </c:marker>
          <c:dLbls>
            <c:dLbl>
              <c:idx val="14"/>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54E-E04E-B3C3-25F6DF94E310}"/>
                </c:ext>
              </c:extLst>
            </c:dLbl>
            <c:dLbl>
              <c:idx val="15"/>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A54E-E04E-B3C3-25F6DF94E310}"/>
                </c:ext>
              </c:extLst>
            </c:dLbl>
            <c:dLbl>
              <c:idx val="18"/>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54E-E04E-B3C3-25F6DF94E310}"/>
                </c:ext>
              </c:extLst>
            </c:dLbl>
            <c:dLbl>
              <c:idx val="20"/>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54E-E04E-B3C3-25F6DF94E310}"/>
                </c:ext>
              </c:extLst>
            </c:dLbl>
            <c:dLbl>
              <c:idx val="21"/>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A54E-E04E-B3C3-25F6DF94E310}"/>
                </c:ext>
              </c:extLst>
            </c:dLbl>
            <c:dLbl>
              <c:idx val="24"/>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54E-E04E-B3C3-25F6DF94E3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6802D"/>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Exportaciones!$B$10:$B$34</c:f>
              <c:strCache>
                <c:ptCount val="25"/>
                <c:pt idx="0">
                  <c:v>May 24</c:v>
                </c:pt>
                <c:pt idx="1">
                  <c:v>Jun 24</c:v>
                </c:pt>
                <c:pt idx="2">
                  <c:v>Jul 24</c:v>
                </c:pt>
                <c:pt idx="3">
                  <c:v>Ago 24</c:v>
                </c:pt>
                <c:pt idx="4">
                  <c:v>Sep 24</c:v>
                </c:pt>
                <c:pt idx="5">
                  <c:v>Oct 24</c:v>
                </c:pt>
                <c:pt idx="6">
                  <c:v>Nov 24</c:v>
                </c:pt>
                <c:pt idx="7">
                  <c:v>Dic 24</c:v>
                </c:pt>
                <c:pt idx="8">
                  <c:v>Ene 25</c:v>
                </c:pt>
                <c:pt idx="9">
                  <c:v>Feb 25</c:v>
                </c:pt>
                <c:pt idx="10">
                  <c:v>Mar 25</c:v>
                </c:pt>
                <c:pt idx="11">
                  <c:v>Abr 25</c:v>
                </c:pt>
                <c:pt idx="12">
                  <c:v>May 25</c:v>
                </c:pt>
                <c:pt idx="13">
                  <c:v>Jun 25</c:v>
                </c:pt>
                <c:pt idx="14">
                  <c:v>Jul 25</c:v>
                </c:pt>
                <c:pt idx="15">
                  <c:v>Ago 25</c:v>
                </c:pt>
                <c:pt idx="16">
                  <c:v>Sep 25</c:v>
                </c:pt>
                <c:pt idx="17">
                  <c:v>Oct 25</c:v>
                </c:pt>
                <c:pt idx="18">
                  <c:v>Nov 25</c:v>
                </c:pt>
                <c:pt idx="19">
                  <c:v>Dic 25</c:v>
                </c:pt>
                <c:pt idx="20">
                  <c:v>Ene 26</c:v>
                </c:pt>
                <c:pt idx="21">
                  <c:v>Feb 26</c:v>
                </c:pt>
                <c:pt idx="22">
                  <c:v>Mar 26</c:v>
                </c:pt>
                <c:pt idx="23">
                  <c:v>Abr 26</c:v>
                </c:pt>
                <c:pt idx="24">
                  <c:v>May 26 O</c:v>
                </c:pt>
              </c:strCache>
            </c:strRef>
          </c:cat>
          <c:val>
            <c:numRef>
              <c:f>Exportaciones!$D$10:$D$34</c:f>
              <c:numCache>
                <c:formatCode>0.0%</c:formatCode>
                <c:ptCount val="25"/>
                <c:pt idx="13">
                  <c:v>0.1060447849417836</c:v>
                </c:pt>
                <c:pt idx="14">
                  <c:v>3.9542344370176785E-2</c:v>
                </c:pt>
                <c:pt idx="15">
                  <c:v>7.3515802544338538E-2</c:v>
                </c:pt>
                <c:pt idx="16">
                  <c:v>0.1381871955291003</c:v>
                </c:pt>
                <c:pt idx="17">
                  <c:v>0.14223085852618356</c:v>
                </c:pt>
                <c:pt idx="18">
                  <c:v>7.9347868471460803E-2</c:v>
                </c:pt>
                <c:pt idx="19">
                  <c:v>0.17189601362853324</c:v>
                </c:pt>
                <c:pt idx="20">
                  <c:v>8.1299479549505671E-2</c:v>
                </c:pt>
                <c:pt idx="21">
                  <c:v>0.15789847904830556</c:v>
                </c:pt>
                <c:pt idx="22">
                  <c:v>0.27654642619438552</c:v>
                </c:pt>
                <c:pt idx="23">
                  <c:v>0.32557116793250218</c:v>
                </c:pt>
                <c:pt idx="24">
                  <c:v>0.25357937881528159</c:v>
                </c:pt>
              </c:numCache>
            </c:numRef>
          </c:val>
          <c:smooth val="0"/>
          <c:extLst>
            <c:ext xmlns:c16="http://schemas.microsoft.com/office/drawing/2014/chart" uri="{C3380CC4-5D6E-409C-BE32-E72D297353CC}">
              <c16:uniqueId val="{00000001-A54E-E04E-B3C3-25F6DF94E310}"/>
            </c:ext>
          </c:extLst>
        </c:ser>
        <c:dLbls>
          <c:showLegendKey val="0"/>
          <c:showVal val="0"/>
          <c:showCatName val="0"/>
          <c:showSerName val="0"/>
          <c:showPercent val="0"/>
          <c:showBubbleSize val="0"/>
        </c:dLbls>
        <c:marker val="1"/>
        <c:smooth val="0"/>
        <c:axId val="477931584"/>
        <c:axId val="477932032"/>
      </c:lineChart>
      <c:catAx>
        <c:axId val="47792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77921280"/>
        <c:crosses val="autoZero"/>
        <c:auto val="1"/>
        <c:lblAlgn val="ctr"/>
        <c:lblOffset val="100"/>
        <c:noMultiLvlLbl val="0"/>
      </c:catAx>
      <c:valAx>
        <c:axId val="4779212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77923072"/>
        <c:crosses val="autoZero"/>
        <c:crossBetween val="between"/>
      </c:valAx>
      <c:valAx>
        <c:axId val="477932032"/>
        <c:scaling>
          <c:orientation val="minMax"/>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77931584"/>
        <c:crosses val="max"/>
        <c:crossBetween val="between"/>
      </c:valAx>
      <c:catAx>
        <c:axId val="477931584"/>
        <c:scaling>
          <c:orientation val="minMax"/>
        </c:scaling>
        <c:delete val="1"/>
        <c:axPos val="b"/>
        <c:numFmt formatCode="General" sourceLinked="1"/>
        <c:majorTickMark val="none"/>
        <c:minorTickMark val="none"/>
        <c:tickLblPos val="nextTo"/>
        <c:crossAx val="477932032"/>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b="1"/>
              <a:t>Exportaciones e importaciones de México (valores absolutos, mdd)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barChart>
        <c:barDir val="col"/>
        <c:grouping val="clustered"/>
        <c:varyColors val="0"/>
        <c:ser>
          <c:idx val="0"/>
          <c:order val="0"/>
          <c:tx>
            <c:strRef>
              <c:f>'Balanza comercial'!$C$9</c:f>
              <c:strCache>
                <c:ptCount val="1"/>
                <c:pt idx="0">
                  <c:v>Exportaciones</c:v>
                </c:pt>
              </c:strCache>
            </c:strRef>
          </c:tx>
          <c:spPr>
            <a:solidFill>
              <a:srgbClr val="9C2348"/>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extLst>
                <c:ext xmlns:c16="http://schemas.microsoft.com/office/drawing/2014/chart" uri="{C3380CC4-5D6E-409C-BE32-E72D297353CC}">
                  <c16:uniqueId val="{00000002-979A-4682-B804-BD85551C89F3}"/>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extLst>
                <c:ext xmlns:c16="http://schemas.microsoft.com/office/drawing/2014/chart" uri="{C3380CC4-5D6E-409C-BE32-E72D297353CC}">
                  <c16:uniqueId val="{00000003-979A-4682-B804-BD85551C89F3}"/>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extLst>
                <c:ext xmlns:c16="http://schemas.microsoft.com/office/drawing/2014/chart" uri="{C3380CC4-5D6E-409C-BE32-E72D297353CC}">
                  <c16:uniqueId val="{00000004-979A-4682-B804-BD85551C89F3}"/>
                </c:ext>
              </c:extLst>
            </c:dLbl>
            <c:dLbl>
              <c:idx val="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extLst>
                <c:ext xmlns:c16="http://schemas.microsoft.com/office/drawing/2014/chart" uri="{C3380CC4-5D6E-409C-BE32-E72D297353CC}">
                  <c16:uniqueId val="{00000000-979A-4682-B804-BD85551C89F3}"/>
                </c:ext>
              </c:extLst>
            </c:dLbl>
            <c:dLbl>
              <c:idx val="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extLst>
                <c:ext xmlns:c16="http://schemas.microsoft.com/office/drawing/2014/chart" uri="{C3380CC4-5D6E-409C-BE32-E72D297353CC}">
                  <c16:uniqueId val="{00000001-979A-4682-B804-BD85551C89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'Balanza comercial'!$B$10:$B$34</c:f>
              <c:strCache>
                <c:ptCount val="25"/>
                <c:pt idx="0">
                  <c:v>May 24</c:v>
                </c:pt>
                <c:pt idx="1">
                  <c:v>Jun 24</c:v>
                </c:pt>
                <c:pt idx="2">
                  <c:v>Jul 24</c:v>
                </c:pt>
                <c:pt idx="3">
                  <c:v>Ago 24</c:v>
                </c:pt>
                <c:pt idx="4">
                  <c:v>Sep 24</c:v>
                </c:pt>
                <c:pt idx="5">
                  <c:v>Oct 24</c:v>
                </c:pt>
                <c:pt idx="6">
                  <c:v>Nov 24</c:v>
                </c:pt>
                <c:pt idx="7">
                  <c:v>Dic 24</c:v>
                </c:pt>
                <c:pt idx="8">
                  <c:v>Ene 25</c:v>
                </c:pt>
                <c:pt idx="9">
                  <c:v>Feb 25</c:v>
                </c:pt>
                <c:pt idx="10">
                  <c:v>Mar 25</c:v>
                </c:pt>
                <c:pt idx="11">
                  <c:v>Abr 25</c:v>
                </c:pt>
                <c:pt idx="12">
                  <c:v>May 25</c:v>
                </c:pt>
                <c:pt idx="13">
                  <c:v>Jun 25</c:v>
                </c:pt>
                <c:pt idx="14">
                  <c:v>Jul 25</c:v>
                </c:pt>
                <c:pt idx="15">
                  <c:v>Ago 25</c:v>
                </c:pt>
                <c:pt idx="16">
                  <c:v>Sep 25</c:v>
                </c:pt>
                <c:pt idx="17">
                  <c:v>Oct 25</c:v>
                </c:pt>
                <c:pt idx="18">
                  <c:v>Nov 25</c:v>
                </c:pt>
                <c:pt idx="19">
                  <c:v>Dic 25</c:v>
                </c:pt>
                <c:pt idx="20">
                  <c:v>Ene 26</c:v>
                </c:pt>
                <c:pt idx="21">
                  <c:v>Feb 26</c:v>
                </c:pt>
                <c:pt idx="22">
                  <c:v>Mar 26</c:v>
                </c:pt>
                <c:pt idx="23">
                  <c:v>Abr 26</c:v>
                </c:pt>
                <c:pt idx="24">
                  <c:v>May 26 O</c:v>
                </c:pt>
              </c:strCache>
            </c:strRef>
          </c:cat>
          <c:val>
            <c:numRef>
              <c:f>'Balanza comercial'!$C$10:$C$34</c:f>
              <c:numCache>
                <c:formatCode>_-"$"* #,##0_-;\-"$"* #,##0_-;_-"$"* "-"??_-;_-@_-</c:formatCode>
                <c:ptCount val="25"/>
                <c:pt idx="0">
                  <c:v>55754.040999999997</c:v>
                </c:pt>
                <c:pt idx="1">
                  <c:v>48824.267999999996</c:v>
                </c:pt>
                <c:pt idx="2">
                  <c:v>54550.711000000003</c:v>
                </c:pt>
                <c:pt idx="3">
                  <c:v>51902.527999999998</c:v>
                </c:pt>
                <c:pt idx="4">
                  <c:v>49629.743000000002</c:v>
                </c:pt>
                <c:pt idx="5">
                  <c:v>57897.71</c:v>
                </c:pt>
                <c:pt idx="6">
                  <c:v>52264.794000000002</c:v>
                </c:pt>
                <c:pt idx="7">
                  <c:v>51754.358999999997</c:v>
                </c:pt>
                <c:pt idx="8">
                  <c:v>44398.267</c:v>
                </c:pt>
                <c:pt idx="9">
                  <c:v>49098.535000000003</c:v>
                </c:pt>
                <c:pt idx="10">
                  <c:v>55404.972000000002</c:v>
                </c:pt>
                <c:pt idx="11">
                  <c:v>54347.764000000003</c:v>
                </c:pt>
                <c:pt idx="12">
                  <c:v>55476.735000000001</c:v>
                </c:pt>
                <c:pt idx="13">
                  <c:v>54001.826999999997</c:v>
                </c:pt>
                <c:pt idx="14">
                  <c:v>56707.773999999998</c:v>
                </c:pt>
                <c:pt idx="15">
                  <c:v>55718.184000000001</c:v>
                </c:pt>
                <c:pt idx="16">
                  <c:v>56487.938000000002</c:v>
                </c:pt>
                <c:pt idx="17">
                  <c:v>66132.551000000007</c:v>
                </c:pt>
                <c:pt idx="18">
                  <c:v>56411.894</c:v>
                </c:pt>
                <c:pt idx="19">
                  <c:v>60650.726999999999</c:v>
                </c:pt>
                <c:pt idx="20">
                  <c:v>48007.822999999997</c:v>
                </c:pt>
                <c:pt idx="21">
                  <c:v>56851.118999999999</c:v>
                </c:pt>
                <c:pt idx="22">
                  <c:v>70727.019</c:v>
                </c:pt>
                <c:pt idx="23">
                  <c:v>72041.828999999998</c:v>
                </c:pt>
                <c:pt idx="24">
                  <c:v>69544.490999999995</c:v>
                </c:pt>
              </c:numCache>
            </c:numRef>
          </c:val>
          <c:extLst>
            <c:ext xmlns:c16="http://schemas.microsoft.com/office/drawing/2014/chart" uri="{C3380CC4-5D6E-409C-BE32-E72D297353CC}">
              <c16:uniqueId val="{00000000-33A8-40C9-9F92-024EA4FF4936}"/>
            </c:ext>
          </c:extLst>
        </c:ser>
        <c:ser>
          <c:idx val="1"/>
          <c:order val="1"/>
          <c:tx>
            <c:strRef>
              <c:f>'Balanza comercial'!$E$9</c:f>
              <c:strCache>
                <c:ptCount val="1"/>
                <c:pt idx="0">
                  <c:v>Importaciones</c:v>
                </c:pt>
              </c:strCache>
            </c:strRef>
          </c:tx>
          <c:spPr>
            <a:solidFill>
              <a:srgbClr val="1E5B4F"/>
            </a:solidFill>
            <a:ln>
              <a:noFill/>
            </a:ln>
            <a:effectLst/>
          </c:spPr>
          <c:invertIfNegative val="0"/>
          <c:cat>
            <c:strRef>
              <c:f>'Balanza comercial'!$B$10:$B$34</c:f>
              <c:strCache>
                <c:ptCount val="25"/>
                <c:pt idx="0">
                  <c:v>May 24</c:v>
                </c:pt>
                <c:pt idx="1">
                  <c:v>Jun 24</c:v>
                </c:pt>
                <c:pt idx="2">
                  <c:v>Jul 24</c:v>
                </c:pt>
                <c:pt idx="3">
                  <c:v>Ago 24</c:v>
                </c:pt>
                <c:pt idx="4">
                  <c:v>Sep 24</c:v>
                </c:pt>
                <c:pt idx="5">
                  <c:v>Oct 24</c:v>
                </c:pt>
                <c:pt idx="6">
                  <c:v>Nov 24</c:v>
                </c:pt>
                <c:pt idx="7">
                  <c:v>Dic 24</c:v>
                </c:pt>
                <c:pt idx="8">
                  <c:v>Ene 25</c:v>
                </c:pt>
                <c:pt idx="9">
                  <c:v>Feb 25</c:v>
                </c:pt>
                <c:pt idx="10">
                  <c:v>Mar 25</c:v>
                </c:pt>
                <c:pt idx="11">
                  <c:v>Abr 25</c:v>
                </c:pt>
                <c:pt idx="12">
                  <c:v>May 25</c:v>
                </c:pt>
                <c:pt idx="13">
                  <c:v>Jun 25</c:v>
                </c:pt>
                <c:pt idx="14">
                  <c:v>Jul 25</c:v>
                </c:pt>
                <c:pt idx="15">
                  <c:v>Ago 25</c:v>
                </c:pt>
                <c:pt idx="16">
                  <c:v>Sep 25</c:v>
                </c:pt>
                <c:pt idx="17">
                  <c:v>Oct 25</c:v>
                </c:pt>
                <c:pt idx="18">
                  <c:v>Nov 25</c:v>
                </c:pt>
                <c:pt idx="19">
                  <c:v>Dic 25</c:v>
                </c:pt>
                <c:pt idx="20">
                  <c:v>Ene 26</c:v>
                </c:pt>
                <c:pt idx="21">
                  <c:v>Feb 26</c:v>
                </c:pt>
                <c:pt idx="22">
                  <c:v>Mar 26</c:v>
                </c:pt>
                <c:pt idx="23">
                  <c:v>Abr 26</c:v>
                </c:pt>
                <c:pt idx="24">
                  <c:v>May 26 O</c:v>
                </c:pt>
              </c:strCache>
            </c:strRef>
          </c:cat>
          <c:val>
            <c:numRef>
              <c:f>'Balanza comercial'!$E$10:$E$34</c:f>
              <c:numCache>
                <c:formatCode>_-"$"* #,##0_-;\-"$"* #,##0_-;_-"$"* "-"??_-;_-@_-</c:formatCode>
                <c:ptCount val="25"/>
                <c:pt idx="0">
                  <c:v>54863.065000000002</c:v>
                </c:pt>
                <c:pt idx="1">
                  <c:v>51230.591</c:v>
                </c:pt>
                <c:pt idx="2">
                  <c:v>55771.222000000002</c:v>
                </c:pt>
                <c:pt idx="3">
                  <c:v>57747.196000000004</c:v>
                </c:pt>
                <c:pt idx="4">
                  <c:v>51120.788999999997</c:v>
                </c:pt>
                <c:pt idx="5">
                  <c:v>58109.034</c:v>
                </c:pt>
                <c:pt idx="6">
                  <c:v>52971.031000000003</c:v>
                </c:pt>
                <c:pt idx="7">
                  <c:v>49905.838000000003</c:v>
                </c:pt>
                <c:pt idx="8">
                  <c:v>49611.476000000002</c:v>
                </c:pt>
                <c:pt idx="9">
                  <c:v>47444.307000000001</c:v>
                </c:pt>
                <c:pt idx="10">
                  <c:v>52115.201000000001</c:v>
                </c:pt>
                <c:pt idx="11">
                  <c:v>54392.226000000002</c:v>
                </c:pt>
                <c:pt idx="12">
                  <c:v>54244.911</c:v>
                </c:pt>
                <c:pt idx="13">
                  <c:v>53487.398000000001</c:v>
                </c:pt>
                <c:pt idx="14">
                  <c:v>56724.468000000001</c:v>
                </c:pt>
                <c:pt idx="15">
                  <c:v>57662.067999999999</c:v>
                </c:pt>
                <c:pt idx="16">
                  <c:v>58887.474999999999</c:v>
                </c:pt>
                <c:pt idx="17">
                  <c:v>65526.483</c:v>
                </c:pt>
                <c:pt idx="18">
                  <c:v>55749.101999999999</c:v>
                </c:pt>
                <c:pt idx="19">
                  <c:v>58221.107000000004</c:v>
                </c:pt>
                <c:pt idx="20">
                  <c:v>54488.877</c:v>
                </c:pt>
                <c:pt idx="21">
                  <c:v>57313.896999999997</c:v>
                </c:pt>
                <c:pt idx="22">
                  <c:v>64795.021000000001</c:v>
                </c:pt>
                <c:pt idx="23">
                  <c:v>67521.797999999995</c:v>
                </c:pt>
                <c:pt idx="24">
                  <c:v>67285.323000000004</c:v>
                </c:pt>
              </c:numCache>
            </c:numRef>
          </c:val>
          <c:extLst>
            <c:ext xmlns:c16="http://schemas.microsoft.com/office/drawing/2014/chart" uri="{C3380CC4-5D6E-409C-BE32-E72D297353CC}">
              <c16:uniqueId val="{00000001-33A8-40C9-9F92-024EA4FF4936}"/>
            </c:ext>
          </c:extLst>
        </c:ser>
        <c:dLbls>
          <c:showLegendKey val="0"/>
          <c:showVal val="0"/>
          <c:showCatName val="0"/>
          <c:showSerName val="0"/>
          <c:showPercent val="0"/>
          <c:showBubbleSize val="0"/>
        </c:dLbls>
        <c:gapWidth val="100"/>
        <c:overlap val="-27"/>
        <c:axId val="1259334848"/>
        <c:axId val="1259336096"/>
      </c:barChart>
      <c:catAx>
        <c:axId val="12593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259336096"/>
        <c:crosses val="autoZero"/>
        <c:auto val="1"/>
        <c:lblAlgn val="ctr"/>
        <c:lblOffset val="100"/>
        <c:noMultiLvlLbl val="0"/>
      </c:catAx>
      <c:valAx>
        <c:axId val="125933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 Millones</a:t>
                </a:r>
                <a:r>
                  <a:rPr lang="es-MX" baseline="0"/>
                  <a:t> de dólares</a:t>
                </a:r>
                <a:endParaRPr lang="es-MX"/>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25933484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Consumo privado (base 100 = 2018)</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areaChart>
        <c:grouping val="stacked"/>
        <c:varyColors val="0"/>
        <c:ser>
          <c:idx val="0"/>
          <c:order val="0"/>
          <c:tx>
            <c:strRef>
              <c:f>'Consumo Privado'!$C$9</c:f>
              <c:strCache>
                <c:ptCount val="1"/>
                <c:pt idx="0">
                  <c:v>Índice de volumen físico</c:v>
                </c:pt>
              </c:strCache>
            </c:strRef>
          </c:tx>
          <c:spPr>
            <a:pattFill prst="pct20">
              <a:fgClr>
                <a:srgbClr val="1E5B4F"/>
              </a:fgClr>
              <a:bgClr>
                <a:schemeClr val="bg1"/>
              </a:bgClr>
            </a:pattFill>
            <a:ln w="38100">
              <a:solidFill>
                <a:srgbClr val="1E5B4F"/>
              </a:solidFill>
            </a:ln>
            <a:effectLst/>
          </c:spP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'Consumo Privado'!$B$10:$B$21</c:f>
              <c:strCache>
                <c:ptCount val="12"/>
                <c:pt idx="0">
                  <c:v>Abr 25 R</c:v>
                </c:pt>
                <c:pt idx="1">
                  <c:v>May 25 R</c:v>
                </c:pt>
                <c:pt idx="2">
                  <c:v>Jun 25 R</c:v>
                </c:pt>
                <c:pt idx="3">
                  <c:v>Jul 25 R</c:v>
                </c:pt>
                <c:pt idx="4">
                  <c:v>Ago 25 R</c:v>
                </c:pt>
                <c:pt idx="5">
                  <c:v>Sep 25 R</c:v>
                </c:pt>
                <c:pt idx="6">
                  <c:v>Oct 25 R</c:v>
                </c:pt>
                <c:pt idx="7">
                  <c:v>Nov 25 R</c:v>
                </c:pt>
                <c:pt idx="8">
                  <c:v>Dic 25 R</c:v>
                </c:pt>
                <c:pt idx="9">
                  <c:v>Ene 26 R</c:v>
                </c:pt>
                <c:pt idx="10">
                  <c:v>Feb 26 R</c:v>
                </c:pt>
                <c:pt idx="11">
                  <c:v>Mar 26 P</c:v>
                </c:pt>
              </c:strCache>
            </c:strRef>
          </c:cat>
          <c:val>
            <c:numRef>
              <c:f>'Consumo Privado'!$C$10:$C$21</c:f>
              <c:numCache>
                <c:formatCode>0.0</c:formatCode>
                <c:ptCount val="12"/>
                <c:pt idx="0">
                  <c:v>110.1915640022</c:v>
                </c:pt>
                <c:pt idx="1">
                  <c:v>112.1104060481</c:v>
                </c:pt>
                <c:pt idx="2">
                  <c:v>109.88665230700001</c:v>
                </c:pt>
                <c:pt idx="3">
                  <c:v>113.99816028390001</c:v>
                </c:pt>
                <c:pt idx="4">
                  <c:v>114.29303772750001</c:v>
                </c:pt>
                <c:pt idx="5">
                  <c:v>113.141670895</c:v>
                </c:pt>
                <c:pt idx="6">
                  <c:v>117.4042949687</c:v>
                </c:pt>
                <c:pt idx="7">
                  <c:v>113.8299222248</c:v>
                </c:pt>
                <c:pt idx="8">
                  <c:v>116.84388782729999</c:v>
                </c:pt>
                <c:pt idx="9">
                  <c:v>110.519200852</c:v>
                </c:pt>
                <c:pt idx="10">
                  <c:v>104.4568568234</c:v>
                </c:pt>
                <c:pt idx="11">
                  <c:v>113.51329476780001</c:v>
                </c:pt>
              </c:numCache>
            </c:numRef>
          </c:val>
          <c:extLst>
            <c:ext xmlns:c16="http://schemas.microsoft.com/office/drawing/2014/chart" uri="{C3380CC4-5D6E-409C-BE32-E72D297353CC}">
              <c16:uniqueId val="{00000000-1E14-458E-88EC-8F645E6097E0}"/>
            </c:ext>
          </c:extLst>
        </c:ser>
        <c:dLbls>
          <c:showLegendKey val="0"/>
          <c:showVal val="0"/>
          <c:showCatName val="0"/>
          <c:showSerName val="0"/>
          <c:showPercent val="0"/>
          <c:showBubbleSize val="0"/>
        </c:dLbls>
        <c:axId val="969319072"/>
        <c:axId val="969315328"/>
      </c:areaChart>
      <c:lineChart>
        <c:grouping val="standard"/>
        <c:varyColors val="0"/>
        <c:ser>
          <c:idx val="1"/>
          <c:order val="1"/>
          <c:tx>
            <c:strRef>
              <c:f>'Consumo Privado'!$D$9</c:f>
              <c:strCache>
                <c:ptCount val="1"/>
                <c:pt idx="0">
                  <c:v>Var. mensual (%)</c:v>
                </c:pt>
              </c:strCache>
            </c:strRef>
          </c:tx>
          <c:spPr>
            <a:ln w="28575" cap="rnd">
              <a:solidFill>
                <a:srgbClr val="A6802D"/>
              </a:solidFill>
              <a:round/>
            </a:ln>
            <a:effectLst/>
          </c:spPr>
          <c:marker>
            <c:symbol val="circle"/>
            <c:size val="5"/>
            <c:spPr>
              <a:solidFill>
                <a:srgbClr val="A6802D"/>
              </a:solidFill>
              <a:ln w="9525">
                <a:solidFill>
                  <a:srgbClr val="A6802D"/>
                </a:solidFill>
              </a:ln>
              <a:effectLst/>
            </c:spPr>
          </c:marker>
          <c:dLbls>
            <c:dLbl>
              <c:idx val="1"/>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14-458E-88EC-8F645E6097E0}"/>
                </c:ext>
              </c:extLst>
            </c:dLbl>
            <c:dLbl>
              <c:idx val="3"/>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14-458E-88EC-8F645E6097E0}"/>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14-458E-88EC-8F645E6097E0}"/>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14-458E-88EC-8F645E6097E0}"/>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14-458E-88EC-8F645E6097E0}"/>
                </c:ext>
              </c:extLst>
            </c:dLbl>
            <c:spPr>
              <a:noFill/>
              <a:ln>
                <a:noFill/>
              </a:ln>
              <a:effectLst/>
            </c:spPr>
            <c:txPr>
              <a:bodyPr rot="0" spcFirstLastPara="1" vertOverflow="ellipsis" vert="horz" wrap="square" anchor="ctr" anchorCtr="1"/>
              <a:lstStyle/>
              <a:p>
                <a:pPr>
                  <a:defRPr sz="900" b="0" i="0" u="none"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'Consumo Privado'!$B$10:$B$21</c:f>
              <c:strCache>
                <c:ptCount val="12"/>
                <c:pt idx="0">
                  <c:v>Abr 25 R</c:v>
                </c:pt>
                <c:pt idx="1">
                  <c:v>May 25 R</c:v>
                </c:pt>
                <c:pt idx="2">
                  <c:v>Jun 25 R</c:v>
                </c:pt>
                <c:pt idx="3">
                  <c:v>Jul 25 R</c:v>
                </c:pt>
                <c:pt idx="4">
                  <c:v>Ago 25 R</c:v>
                </c:pt>
                <c:pt idx="5">
                  <c:v>Sep 25 R</c:v>
                </c:pt>
                <c:pt idx="6">
                  <c:v>Oct 25 R</c:v>
                </c:pt>
                <c:pt idx="7">
                  <c:v>Nov 25 R</c:v>
                </c:pt>
                <c:pt idx="8">
                  <c:v>Dic 25 R</c:v>
                </c:pt>
                <c:pt idx="9">
                  <c:v>Ene 26 R</c:v>
                </c:pt>
                <c:pt idx="10">
                  <c:v>Feb 26 R</c:v>
                </c:pt>
                <c:pt idx="11">
                  <c:v>Mar 26 P</c:v>
                </c:pt>
              </c:strCache>
            </c:strRef>
          </c:cat>
          <c:val>
            <c:numRef>
              <c:f>'Consumo Privado'!$D$10:$D$21</c:f>
              <c:numCache>
                <c:formatCode>0.00%</c:formatCode>
                <c:ptCount val="12"/>
                <c:pt idx="1">
                  <c:v>1.7413692811018677E-2</c:v>
                </c:pt>
                <c:pt idx="2">
                  <c:v>-1.9835391017546722E-2</c:v>
                </c:pt>
                <c:pt idx="3">
                  <c:v>3.7415899843898481E-2</c:v>
                </c:pt>
                <c:pt idx="4">
                  <c:v>2.5866859856829016E-3</c:v>
                </c:pt>
                <c:pt idx="5">
                  <c:v>-1.007381425319287E-2</c:v>
                </c:pt>
                <c:pt idx="6">
                  <c:v>3.7675102727233734E-2</c:v>
                </c:pt>
                <c:pt idx="7">
                  <c:v>-3.0444991342547745E-2</c:v>
                </c:pt>
                <c:pt idx="8">
                  <c:v>2.6477797257453917E-2</c:v>
                </c:pt>
                <c:pt idx="9">
                  <c:v>-5.4129378035144948E-2</c:v>
                </c:pt>
                <c:pt idx="10">
                  <c:v>-5.4853310391904553E-2</c:v>
                </c:pt>
                <c:pt idx="11">
                  <c:v>8.6700272436028403E-2</c:v>
                </c:pt>
              </c:numCache>
            </c:numRef>
          </c:val>
          <c:smooth val="0"/>
          <c:extLst>
            <c:ext xmlns:c16="http://schemas.microsoft.com/office/drawing/2014/chart" uri="{C3380CC4-5D6E-409C-BE32-E72D297353CC}">
              <c16:uniqueId val="{00000001-1E14-458E-88EC-8F645E6097E0}"/>
            </c:ext>
          </c:extLst>
        </c:ser>
        <c:dLbls>
          <c:showLegendKey val="0"/>
          <c:showVal val="0"/>
          <c:showCatName val="0"/>
          <c:showSerName val="0"/>
          <c:showPercent val="0"/>
          <c:showBubbleSize val="0"/>
        </c:dLbls>
        <c:marker val="1"/>
        <c:smooth val="0"/>
        <c:axId val="964156928"/>
        <c:axId val="969319488"/>
      </c:lineChart>
      <c:catAx>
        <c:axId val="96931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969315328"/>
        <c:crosses val="autoZero"/>
        <c:auto val="1"/>
        <c:lblAlgn val="ctr"/>
        <c:lblOffset val="100"/>
        <c:noMultiLvlLbl val="0"/>
      </c:catAx>
      <c:valAx>
        <c:axId val="969315328"/>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969319072"/>
        <c:crosses val="autoZero"/>
        <c:crossBetween val="between"/>
      </c:valAx>
      <c:valAx>
        <c:axId val="969319488"/>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964156928"/>
        <c:crosses val="max"/>
        <c:crossBetween val="between"/>
      </c:valAx>
      <c:catAx>
        <c:axId val="964156928"/>
        <c:scaling>
          <c:orientation val="minMax"/>
        </c:scaling>
        <c:delete val="1"/>
        <c:axPos val="b"/>
        <c:numFmt formatCode="General" sourceLinked="1"/>
        <c:majorTickMark val="out"/>
        <c:minorTickMark val="none"/>
        <c:tickLblPos val="nextTo"/>
        <c:crossAx val="9693194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Flujos trimestrales de IED por tipo</a:t>
            </a:r>
            <a:r>
              <a:rPr lang="es-MX" sz="1600" b="1" baseline="0"/>
              <a:t> de inversión</a:t>
            </a:r>
            <a:endParaRPr lang="es-MX"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barChart>
        <c:barDir val="col"/>
        <c:grouping val="stacked"/>
        <c:varyColors val="0"/>
        <c:ser>
          <c:idx val="1"/>
          <c:order val="1"/>
          <c:tx>
            <c:strRef>
              <c:f>IED!$D$9</c:f>
              <c:strCache>
                <c:ptCount val="1"/>
                <c:pt idx="0">
                  <c:v>Nuevas  Inversiones</c:v>
                </c:pt>
              </c:strCache>
            </c:strRef>
          </c:tx>
          <c:spPr>
            <a:solidFill>
              <a:srgbClr val="002F2A"/>
            </a:solidFill>
            <a:ln>
              <a:noFill/>
            </a:ln>
            <a:effectLst/>
          </c:spPr>
          <c:invertIfNegative val="0"/>
          <c:cat>
            <c:strRef>
              <c:f>IED!$B$10:$B$30</c:f>
              <c:strCache>
                <c:ptCount val="21"/>
                <c:pt idx="0">
                  <c:v>1T-21</c:v>
                </c:pt>
                <c:pt idx="1">
                  <c:v>2T-21</c:v>
                </c:pt>
                <c:pt idx="2">
                  <c:v>3T-21</c:v>
                </c:pt>
                <c:pt idx="3">
                  <c:v>4T-21</c:v>
                </c:pt>
                <c:pt idx="4">
                  <c:v>1T-22</c:v>
                </c:pt>
                <c:pt idx="5">
                  <c:v>2T-22</c:v>
                </c:pt>
                <c:pt idx="6">
                  <c:v>3T-22</c:v>
                </c:pt>
                <c:pt idx="7">
                  <c:v>4T-22</c:v>
                </c:pt>
                <c:pt idx="8">
                  <c:v>1T-23</c:v>
                </c:pt>
                <c:pt idx="9">
                  <c:v>2T-23</c:v>
                </c:pt>
                <c:pt idx="10">
                  <c:v>3T-23</c:v>
                </c:pt>
                <c:pt idx="11">
                  <c:v>4T-23</c:v>
                </c:pt>
                <c:pt idx="12">
                  <c:v>1T-24</c:v>
                </c:pt>
                <c:pt idx="13">
                  <c:v>2T-24</c:v>
                </c:pt>
                <c:pt idx="14">
                  <c:v>3T-24</c:v>
                </c:pt>
                <c:pt idx="15">
                  <c:v>4T-24</c:v>
                </c:pt>
                <c:pt idx="16">
                  <c:v>1T-25</c:v>
                </c:pt>
                <c:pt idx="17">
                  <c:v>2T-25</c:v>
                </c:pt>
                <c:pt idx="18">
                  <c:v>3T-25</c:v>
                </c:pt>
                <c:pt idx="19">
                  <c:v>4T-25</c:v>
                </c:pt>
                <c:pt idx="20">
                  <c:v>1T-26</c:v>
                </c:pt>
              </c:strCache>
            </c:strRef>
          </c:cat>
          <c:val>
            <c:numRef>
              <c:f>IED!$D$10:$D$30</c:f>
              <c:numCache>
                <c:formatCode>_-"$"* #,##0_-;\-"$"* #,##0_-;_-"$"* "-"??_-;_-@_-</c:formatCode>
                <c:ptCount val="21"/>
                <c:pt idx="0">
                  <c:v>2209.4180131600001</c:v>
                </c:pt>
                <c:pt idx="1">
                  <c:v>6025.0006939900049</c:v>
                </c:pt>
                <c:pt idx="2">
                  <c:v>9544.6275051499997</c:v>
                </c:pt>
                <c:pt idx="3">
                  <c:v>13825.301669439956</c:v>
                </c:pt>
                <c:pt idx="4">
                  <c:v>8792.2096799799965</c:v>
                </c:pt>
                <c:pt idx="5">
                  <c:v>11836.527790140002</c:v>
                </c:pt>
                <c:pt idx="6">
                  <c:v>14519.885829040022</c:v>
                </c:pt>
                <c:pt idx="7">
                  <c:v>16993.097777980158</c:v>
                </c:pt>
                <c:pt idx="8">
                  <c:v>931.68917327933207</c:v>
                </c:pt>
                <c:pt idx="9">
                  <c:v>2135.1680389526641</c:v>
                </c:pt>
                <c:pt idx="10">
                  <c:v>2806.2414950107768</c:v>
                </c:pt>
                <c:pt idx="11">
                  <c:v>4817.4374360257207</c:v>
                </c:pt>
                <c:pt idx="12">
                  <c:v>599.32444568640415</c:v>
                </c:pt>
                <c:pt idx="13">
                  <c:v>909.30707212493871</c:v>
                </c:pt>
                <c:pt idx="14">
                  <c:v>2060.3689516581985</c:v>
                </c:pt>
                <c:pt idx="15">
                  <c:v>3168.5436548465841</c:v>
                </c:pt>
                <c:pt idx="16">
                  <c:v>1586.3962848710341</c:v>
                </c:pt>
                <c:pt idx="17">
                  <c:v>3148.5384412977292</c:v>
                </c:pt>
                <c:pt idx="18">
                  <c:v>6563.3801255314302</c:v>
                </c:pt>
                <c:pt idx="19">
                  <c:v>7377.4265844133433</c:v>
                </c:pt>
                <c:pt idx="20">
                  <c:v>1705.2271007425254</c:v>
                </c:pt>
              </c:numCache>
            </c:numRef>
          </c:val>
          <c:extLst>
            <c:ext xmlns:c16="http://schemas.microsoft.com/office/drawing/2014/chart" uri="{C3380CC4-5D6E-409C-BE32-E72D297353CC}">
              <c16:uniqueId val="{00000001-E6FC-460D-A34F-6204A1ED5A48}"/>
            </c:ext>
          </c:extLst>
        </c:ser>
        <c:ser>
          <c:idx val="2"/>
          <c:order val="2"/>
          <c:tx>
            <c:strRef>
              <c:f>IED!$E$9</c:f>
              <c:strCache>
                <c:ptCount val="1"/>
                <c:pt idx="0">
                  <c:v>Reinversión de utilidades </c:v>
                </c:pt>
              </c:strCache>
            </c:strRef>
          </c:tx>
          <c:spPr>
            <a:solidFill>
              <a:srgbClr val="1E5B4F"/>
            </a:solidFill>
            <a:ln>
              <a:noFill/>
            </a:ln>
            <a:effectLst/>
          </c:spPr>
          <c:invertIfNegative val="0"/>
          <c:cat>
            <c:strRef>
              <c:f>IED!$B$10:$B$30</c:f>
              <c:strCache>
                <c:ptCount val="21"/>
                <c:pt idx="0">
                  <c:v>1T-21</c:v>
                </c:pt>
                <c:pt idx="1">
                  <c:v>2T-21</c:v>
                </c:pt>
                <c:pt idx="2">
                  <c:v>3T-21</c:v>
                </c:pt>
                <c:pt idx="3">
                  <c:v>4T-21</c:v>
                </c:pt>
                <c:pt idx="4">
                  <c:v>1T-22</c:v>
                </c:pt>
                <c:pt idx="5">
                  <c:v>2T-22</c:v>
                </c:pt>
                <c:pt idx="6">
                  <c:v>3T-22</c:v>
                </c:pt>
                <c:pt idx="7">
                  <c:v>4T-22</c:v>
                </c:pt>
                <c:pt idx="8">
                  <c:v>1T-23</c:v>
                </c:pt>
                <c:pt idx="9">
                  <c:v>2T-23</c:v>
                </c:pt>
                <c:pt idx="10">
                  <c:v>3T-23</c:v>
                </c:pt>
                <c:pt idx="11">
                  <c:v>4T-23</c:v>
                </c:pt>
                <c:pt idx="12">
                  <c:v>1T-24</c:v>
                </c:pt>
                <c:pt idx="13">
                  <c:v>2T-24</c:v>
                </c:pt>
                <c:pt idx="14">
                  <c:v>3T-24</c:v>
                </c:pt>
                <c:pt idx="15">
                  <c:v>4T-24</c:v>
                </c:pt>
                <c:pt idx="16">
                  <c:v>1T-25</c:v>
                </c:pt>
                <c:pt idx="17">
                  <c:v>2T-25</c:v>
                </c:pt>
                <c:pt idx="18">
                  <c:v>3T-25</c:v>
                </c:pt>
                <c:pt idx="19">
                  <c:v>4T-25</c:v>
                </c:pt>
                <c:pt idx="20">
                  <c:v>1T-26</c:v>
                </c:pt>
              </c:strCache>
            </c:strRef>
          </c:cat>
          <c:val>
            <c:numRef>
              <c:f>IED!$E$10:$E$30</c:f>
              <c:numCache>
                <c:formatCode>_-"$"* #,##0_-;\-"$"* #,##0_-;_-"$"* "-"??_-;_-@_-</c:formatCode>
                <c:ptCount val="21"/>
                <c:pt idx="0">
                  <c:v>7025.2112565499965</c:v>
                </c:pt>
                <c:pt idx="1">
                  <c:v>8658.2140194699878</c:v>
                </c:pt>
                <c:pt idx="2">
                  <c:v>9999.422711059975</c:v>
                </c:pt>
                <c:pt idx="3">
                  <c:v>12213.01206093998</c:v>
                </c:pt>
                <c:pt idx="4">
                  <c:v>9259.1244507500051</c:v>
                </c:pt>
                <c:pt idx="5">
                  <c:v>11655.60546753999</c:v>
                </c:pt>
                <c:pt idx="6">
                  <c:v>14052.151391029991</c:v>
                </c:pt>
                <c:pt idx="7">
                  <c:v>16027.790410173762</c:v>
                </c:pt>
                <c:pt idx="8">
                  <c:v>16704.7085712238</c:v>
                </c:pt>
                <c:pt idx="9">
                  <c:v>22608.621511717822</c:v>
                </c:pt>
                <c:pt idx="10">
                  <c:v>24905.191435293553</c:v>
                </c:pt>
                <c:pt idx="11">
                  <c:v>26630.612710594727</c:v>
                </c:pt>
                <c:pt idx="12">
                  <c:v>19614.776186730029</c:v>
                </c:pt>
                <c:pt idx="13">
                  <c:v>30287.603011614978</c:v>
                </c:pt>
                <c:pt idx="14">
                  <c:v>30744.839323298289</c:v>
                </c:pt>
                <c:pt idx="15">
                  <c:v>28710.314866537199</c:v>
                </c:pt>
                <c:pt idx="16">
                  <c:v>16646.993088795327</c:v>
                </c:pt>
                <c:pt idx="17">
                  <c:v>28914.108630111772</c:v>
                </c:pt>
                <c:pt idx="18">
                  <c:v>27748.842164331676</c:v>
                </c:pt>
                <c:pt idx="19">
                  <c:v>27649.339908233083</c:v>
                </c:pt>
                <c:pt idx="20">
                  <c:v>22221.505971855015</c:v>
                </c:pt>
              </c:numCache>
            </c:numRef>
          </c:val>
          <c:extLst>
            <c:ext xmlns:c16="http://schemas.microsoft.com/office/drawing/2014/chart" uri="{C3380CC4-5D6E-409C-BE32-E72D297353CC}">
              <c16:uniqueId val="{00000002-E6FC-460D-A34F-6204A1ED5A48}"/>
            </c:ext>
          </c:extLst>
        </c:ser>
        <c:ser>
          <c:idx val="3"/>
          <c:order val="3"/>
          <c:tx>
            <c:strRef>
              <c:f>IED!$F$9</c:f>
              <c:strCache>
                <c:ptCount val="1"/>
                <c:pt idx="0">
                  <c:v>Cuentas entre compañías</c:v>
                </c:pt>
              </c:strCache>
            </c:strRef>
          </c:tx>
          <c:spPr>
            <a:solidFill>
              <a:srgbClr val="9C2348"/>
            </a:solidFill>
            <a:ln>
              <a:noFill/>
            </a:ln>
            <a:effectLst/>
          </c:spPr>
          <c:invertIfNegative val="0"/>
          <c:cat>
            <c:strRef>
              <c:f>IED!$B$10:$B$30</c:f>
              <c:strCache>
                <c:ptCount val="21"/>
                <c:pt idx="0">
                  <c:v>1T-21</c:v>
                </c:pt>
                <c:pt idx="1">
                  <c:v>2T-21</c:v>
                </c:pt>
                <c:pt idx="2">
                  <c:v>3T-21</c:v>
                </c:pt>
                <c:pt idx="3">
                  <c:v>4T-21</c:v>
                </c:pt>
                <c:pt idx="4">
                  <c:v>1T-22</c:v>
                </c:pt>
                <c:pt idx="5">
                  <c:v>2T-22</c:v>
                </c:pt>
                <c:pt idx="6">
                  <c:v>3T-22</c:v>
                </c:pt>
                <c:pt idx="7">
                  <c:v>4T-22</c:v>
                </c:pt>
                <c:pt idx="8">
                  <c:v>1T-23</c:v>
                </c:pt>
                <c:pt idx="9">
                  <c:v>2T-23</c:v>
                </c:pt>
                <c:pt idx="10">
                  <c:v>3T-23</c:v>
                </c:pt>
                <c:pt idx="11">
                  <c:v>4T-23</c:v>
                </c:pt>
                <c:pt idx="12">
                  <c:v>1T-24</c:v>
                </c:pt>
                <c:pt idx="13">
                  <c:v>2T-24</c:v>
                </c:pt>
                <c:pt idx="14">
                  <c:v>3T-24</c:v>
                </c:pt>
                <c:pt idx="15">
                  <c:v>4T-24</c:v>
                </c:pt>
                <c:pt idx="16">
                  <c:v>1T-25</c:v>
                </c:pt>
                <c:pt idx="17">
                  <c:v>2T-25</c:v>
                </c:pt>
                <c:pt idx="18">
                  <c:v>3T-25</c:v>
                </c:pt>
                <c:pt idx="19">
                  <c:v>4T-25</c:v>
                </c:pt>
                <c:pt idx="20">
                  <c:v>1T-26</c:v>
                </c:pt>
              </c:strCache>
            </c:strRef>
          </c:cat>
          <c:val>
            <c:numRef>
              <c:f>IED!$F$10:$F$30</c:f>
              <c:numCache>
                <c:formatCode>_-"$"* #,##0_-;\-"$"* #,##0_-;_-"$"* "-"??_-;_-@_-</c:formatCode>
                <c:ptCount val="21"/>
                <c:pt idx="0">
                  <c:v>2629.4011931099972</c:v>
                </c:pt>
                <c:pt idx="1">
                  <c:v>3750.254829099993</c:v>
                </c:pt>
                <c:pt idx="2">
                  <c:v>5287.6740547099762</c:v>
                </c:pt>
                <c:pt idx="3">
                  <c:v>5582.8906204900086</c:v>
                </c:pt>
                <c:pt idx="4">
                  <c:v>1376.1236559999968</c:v>
                </c:pt>
                <c:pt idx="5">
                  <c:v>4019.4904751499985</c:v>
                </c:pt>
                <c:pt idx="6">
                  <c:v>3575.3516447900115</c:v>
                </c:pt>
                <c:pt idx="7">
                  <c:v>2270.7301683466362</c:v>
                </c:pt>
                <c:pt idx="8">
                  <c:v>999.29404605869479</c:v>
                </c:pt>
                <c:pt idx="9">
                  <c:v>4297.0343239205977</c:v>
                </c:pt>
                <c:pt idx="10">
                  <c:v>5215.0038699538809</c:v>
                </c:pt>
                <c:pt idx="11">
                  <c:v>4609.9936290604737</c:v>
                </c:pt>
                <c:pt idx="12">
                  <c:v>98.558118364204702</c:v>
                </c:pt>
                <c:pt idx="13">
                  <c:v>-100.58497416839889</c:v>
                </c:pt>
                <c:pt idx="14">
                  <c:v>2932.2812656551187</c:v>
                </c:pt>
                <c:pt idx="15">
                  <c:v>4993.5634297757933</c:v>
                </c:pt>
                <c:pt idx="16">
                  <c:v>3139.8037318358101</c:v>
                </c:pt>
                <c:pt idx="17">
                  <c:v>2201.9203915563307</c:v>
                </c:pt>
                <c:pt idx="18">
                  <c:v>6593.3914265070589</c:v>
                </c:pt>
                <c:pt idx="19">
                  <c:v>5844.0028353873968</c:v>
                </c:pt>
                <c:pt idx="20">
                  <c:v>-336.11102705237278</c:v>
                </c:pt>
              </c:numCache>
            </c:numRef>
          </c:val>
          <c:extLst>
            <c:ext xmlns:c16="http://schemas.microsoft.com/office/drawing/2014/chart" uri="{C3380CC4-5D6E-409C-BE32-E72D297353CC}">
              <c16:uniqueId val="{00000003-E6FC-460D-A34F-6204A1ED5A48}"/>
            </c:ext>
          </c:extLst>
        </c:ser>
        <c:dLbls>
          <c:showLegendKey val="0"/>
          <c:showVal val="0"/>
          <c:showCatName val="0"/>
          <c:showSerName val="0"/>
          <c:showPercent val="0"/>
          <c:showBubbleSize val="0"/>
        </c:dLbls>
        <c:gapWidth val="100"/>
        <c:overlap val="100"/>
        <c:axId val="969095360"/>
        <c:axId val="969096192"/>
      </c:barChart>
      <c:lineChart>
        <c:grouping val="standard"/>
        <c:varyColors val="0"/>
        <c:ser>
          <c:idx val="0"/>
          <c:order val="0"/>
          <c:tx>
            <c:strRef>
              <c:f>IED!$C$9</c:f>
              <c:strCache>
                <c:ptCount val="1"/>
                <c:pt idx="0">
                  <c:v>IED total</c:v>
                </c:pt>
              </c:strCache>
            </c:strRef>
          </c:tx>
          <c:spPr>
            <a:ln w="28575" cap="rnd">
              <a:solidFill>
                <a:srgbClr val="A6802D">
                  <a:alpha val="0"/>
                </a:srgbClr>
              </a:solidFill>
              <a:round/>
            </a:ln>
            <a:effectLst/>
          </c:spPr>
          <c:marker>
            <c:symbol val="circle"/>
            <c:size val="5"/>
            <c:spPr>
              <a:solidFill>
                <a:srgbClr val="A6802D"/>
              </a:solidFill>
              <a:ln w="9525">
                <a:solidFill>
                  <a:srgbClr val="A6802D"/>
                </a:solidFill>
              </a:ln>
              <a:effectLst/>
            </c:spPr>
          </c:marker>
          <c:dLbls>
            <c:dLbl>
              <c:idx val="18"/>
              <c:delete val="1"/>
              <c:extLst>
                <c:ext xmlns:c15="http://schemas.microsoft.com/office/drawing/2012/chart" uri="{CE6537A1-D6FC-4f65-9D91-7224C49458BB}"/>
                <c:ext xmlns:c16="http://schemas.microsoft.com/office/drawing/2014/chart" uri="{C3380CC4-5D6E-409C-BE32-E72D297353CC}">
                  <c16:uniqueId val="{00000004-E6FC-460D-A34F-6204A1ED5A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IED!$B$10:$B$30</c:f>
              <c:strCache>
                <c:ptCount val="21"/>
                <c:pt idx="0">
                  <c:v>1T-21</c:v>
                </c:pt>
                <c:pt idx="1">
                  <c:v>2T-21</c:v>
                </c:pt>
                <c:pt idx="2">
                  <c:v>3T-21</c:v>
                </c:pt>
                <c:pt idx="3">
                  <c:v>4T-21</c:v>
                </c:pt>
                <c:pt idx="4">
                  <c:v>1T-22</c:v>
                </c:pt>
                <c:pt idx="5">
                  <c:v>2T-22</c:v>
                </c:pt>
                <c:pt idx="6">
                  <c:v>3T-22</c:v>
                </c:pt>
                <c:pt idx="7">
                  <c:v>4T-22</c:v>
                </c:pt>
                <c:pt idx="8">
                  <c:v>1T-23</c:v>
                </c:pt>
                <c:pt idx="9">
                  <c:v>2T-23</c:v>
                </c:pt>
                <c:pt idx="10">
                  <c:v>3T-23</c:v>
                </c:pt>
                <c:pt idx="11">
                  <c:v>4T-23</c:v>
                </c:pt>
                <c:pt idx="12">
                  <c:v>1T-24</c:v>
                </c:pt>
                <c:pt idx="13">
                  <c:v>2T-24</c:v>
                </c:pt>
                <c:pt idx="14">
                  <c:v>3T-24</c:v>
                </c:pt>
                <c:pt idx="15">
                  <c:v>4T-24</c:v>
                </c:pt>
                <c:pt idx="16">
                  <c:v>1T-25</c:v>
                </c:pt>
                <c:pt idx="17">
                  <c:v>2T-25</c:v>
                </c:pt>
                <c:pt idx="18">
                  <c:v>3T-25</c:v>
                </c:pt>
                <c:pt idx="19">
                  <c:v>4T-25</c:v>
                </c:pt>
                <c:pt idx="20">
                  <c:v>1T-26</c:v>
                </c:pt>
              </c:strCache>
            </c:strRef>
          </c:cat>
          <c:val>
            <c:numRef>
              <c:f>IED!$C$10:$C$30</c:f>
              <c:numCache>
                <c:formatCode>_-"$"* #,##0_-;\-"$"* #,##0_-;_-"$"* "-"??_-;_-@_-</c:formatCode>
                <c:ptCount val="21"/>
                <c:pt idx="0">
                  <c:v>11864.030462819999</c:v>
                </c:pt>
                <c:pt idx="1">
                  <c:v>18433.469542559851</c:v>
                </c:pt>
                <c:pt idx="2">
                  <c:v>24831.724270920065</c:v>
                </c:pt>
                <c:pt idx="3">
                  <c:v>31621.20435087015</c:v>
                </c:pt>
                <c:pt idx="4">
                  <c:v>19427.457786730047</c:v>
                </c:pt>
                <c:pt idx="5">
                  <c:v>27511.623732829947</c:v>
                </c:pt>
                <c:pt idx="6">
                  <c:v>32147.388864859859</c:v>
                </c:pt>
                <c:pt idx="7">
                  <c:v>35291.618356500352</c:v>
                </c:pt>
                <c:pt idx="8">
                  <c:v>18635.691790561821</c:v>
                </c:pt>
                <c:pt idx="9">
                  <c:v>29040.823874591104</c:v>
                </c:pt>
                <c:pt idx="10">
                  <c:v>32926.436800258227</c:v>
                </c:pt>
                <c:pt idx="11">
                  <c:v>36058.043775681152</c:v>
                </c:pt>
                <c:pt idx="12">
                  <c:v>20312.658750780669</c:v>
                </c:pt>
                <c:pt idx="13">
                  <c:v>31096.325109571579</c:v>
                </c:pt>
                <c:pt idx="14">
                  <c:v>35737.489540611641</c:v>
                </c:pt>
                <c:pt idx="15">
                  <c:v>36872.421951159653</c:v>
                </c:pt>
                <c:pt idx="16">
                  <c:v>21373.193105502167</c:v>
                </c:pt>
                <c:pt idx="17">
                  <c:v>34264.567462965933</c:v>
                </c:pt>
                <c:pt idx="18">
                  <c:v>40905.613716370157</c:v>
                </c:pt>
                <c:pt idx="19">
                  <c:v>40870.769328033653</c:v>
                </c:pt>
                <c:pt idx="20">
                  <c:v>23590.622045545126</c:v>
                </c:pt>
              </c:numCache>
            </c:numRef>
          </c:val>
          <c:smooth val="0"/>
          <c:extLst>
            <c:ext xmlns:c16="http://schemas.microsoft.com/office/drawing/2014/chart" uri="{C3380CC4-5D6E-409C-BE32-E72D297353CC}">
              <c16:uniqueId val="{00000000-E6FC-460D-A34F-6204A1ED5A48}"/>
            </c:ext>
          </c:extLst>
        </c:ser>
        <c:dLbls>
          <c:showLegendKey val="0"/>
          <c:showVal val="0"/>
          <c:showCatName val="0"/>
          <c:showSerName val="0"/>
          <c:showPercent val="0"/>
          <c:showBubbleSize val="0"/>
        </c:dLbls>
        <c:marker val="1"/>
        <c:smooth val="0"/>
        <c:axId val="969095360"/>
        <c:axId val="969096192"/>
      </c:lineChart>
      <c:catAx>
        <c:axId val="96909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969096192"/>
        <c:crosses val="autoZero"/>
        <c:auto val="1"/>
        <c:lblAlgn val="ctr"/>
        <c:lblOffset val="100"/>
        <c:noMultiLvlLbl val="0"/>
      </c:catAx>
      <c:valAx>
        <c:axId val="9690961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969095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Tasa de desocupación nacional, cifras desestacionalizadas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lineChart>
        <c:grouping val="standard"/>
        <c:varyColors val="0"/>
        <c:ser>
          <c:idx val="0"/>
          <c:order val="0"/>
          <c:tx>
            <c:strRef>
              <c:f>'Tasa de desocupación'!$C$9</c:f>
              <c:strCache>
                <c:ptCount val="1"/>
                <c:pt idx="0">
                  <c:v>Tasa</c:v>
                </c:pt>
              </c:strCache>
            </c:strRef>
          </c:tx>
          <c:spPr>
            <a:ln w="28575" cap="rnd">
              <a:solidFill>
                <a:srgbClr val="1E5B4F"/>
              </a:solidFill>
              <a:round/>
            </a:ln>
            <a:effectLst/>
          </c:spPr>
          <c:marker>
            <c:symbol val="circle"/>
            <c:size val="5"/>
            <c:spPr>
              <a:solidFill>
                <a:srgbClr val="1E5B4F"/>
              </a:solidFill>
              <a:ln w="9525">
                <a:solidFill>
                  <a:srgbClr val="1E5B4F"/>
                </a:solidFill>
              </a:ln>
              <a:effectLst/>
            </c:spPr>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91-4833-A69D-36EFCE41DA2D}"/>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91-4833-A69D-36EFCE41DA2D}"/>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91-4833-A69D-36EFCE41DA2D}"/>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91-4833-A69D-36EFCE41DA2D}"/>
                </c:ext>
              </c:extLst>
            </c:dLbl>
            <c:dLbl>
              <c:idx val="9"/>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extLst>
                <c:ext xmlns:c16="http://schemas.microsoft.com/office/drawing/2014/chart" uri="{C3380CC4-5D6E-409C-BE32-E72D297353CC}">
                  <c16:uniqueId val="{00000009-8A91-4833-A69D-36EFCE41DA2D}"/>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91-4833-A69D-36EFCE41DA2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'Tasa de desocupación'!$B$10:$B$21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'Tasa de desocupación'!$C$10:$C$21</c:f>
              <c:numCache>
                <c:formatCode>0.0%</c:formatCode>
                <c:ptCount val="12"/>
                <c:pt idx="0">
                  <c:v>2.5999999999999999E-2</c:v>
                </c:pt>
                <c:pt idx="1">
                  <c:v>2.5999999999999999E-2</c:v>
                </c:pt>
                <c:pt idx="2">
                  <c:v>2.7E-2</c:v>
                </c:pt>
                <c:pt idx="3">
                  <c:v>2.7E-2</c:v>
                </c:pt>
                <c:pt idx="4">
                  <c:v>2.5999999999999999E-2</c:v>
                </c:pt>
                <c:pt idx="5">
                  <c:v>2.7E-2</c:v>
                </c:pt>
                <c:pt idx="6">
                  <c:v>2.5999999999999999E-2</c:v>
                </c:pt>
                <c:pt idx="7">
                  <c:v>2.5999999999999999E-2</c:v>
                </c:pt>
                <c:pt idx="8">
                  <c:v>2.7E-2</c:v>
                </c:pt>
                <c:pt idx="9">
                  <c:v>2.8000000000000001E-2</c:v>
                </c:pt>
                <c:pt idx="10">
                  <c:v>2.5999999999999999E-2</c:v>
                </c:pt>
                <c:pt idx="11">
                  <c:v>2.7E-2</c:v>
                </c:pt>
              </c:numCache>
            </c:numRef>
          </c:val>
          <c:smooth val="0"/>
          <c:extLst>
            <c:ext xmlns:c16="http://schemas.microsoft.com/office/drawing/2014/chart" uri="{C3380CC4-5D6E-409C-BE32-E72D297353CC}">
              <c16:uniqueId val="{00000000-8A91-4833-A69D-36EFCE41DA2D}"/>
            </c:ext>
          </c:extLst>
        </c:ser>
        <c:dLbls>
          <c:showLegendKey val="0"/>
          <c:showVal val="0"/>
          <c:showCatName val="0"/>
          <c:showSerName val="0"/>
          <c:showPercent val="0"/>
          <c:showBubbleSize val="0"/>
        </c:dLbls>
        <c:marker val="1"/>
        <c:smooth val="0"/>
        <c:axId val="1773021103"/>
        <c:axId val="1773017775"/>
      </c:lineChart>
      <c:lineChart>
        <c:grouping val="standard"/>
        <c:varyColors val="0"/>
        <c:ser>
          <c:idx val="1"/>
          <c:order val="1"/>
          <c:tx>
            <c:strRef>
              <c:f>'Tasa de desocupación'!$D$9</c:f>
              <c:strCache>
                <c:ptCount val="1"/>
                <c:pt idx="0">
                  <c:v>OCDE</c:v>
                </c:pt>
              </c:strCache>
            </c:strRef>
          </c:tx>
          <c:spPr>
            <a:ln w="28575" cap="rnd">
              <a:solidFill>
                <a:srgbClr val="0070C0"/>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91-4833-A69D-36EFCE41DA2D}"/>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91-4833-A69D-36EFCE41DA2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'Tasa de desocupación'!$B$10:$B$21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'Tasa de desocupación'!$D$10:$D$21</c:f>
              <c:numCache>
                <c:formatCode>0.0%</c:formatCode>
                <c:ptCount val="12"/>
                <c:pt idx="0">
                  <c:v>4.9000000000000002E-2</c:v>
                </c:pt>
                <c:pt idx="1">
                  <c:v>4.9000000000000002E-2</c:v>
                </c:pt>
                <c:pt idx="2">
                  <c:v>4.9000000000000002E-2</c:v>
                </c:pt>
                <c:pt idx="3">
                  <c:v>4.9000000000000002E-2</c:v>
                </c:pt>
                <c:pt idx="4">
                  <c:v>4.9000000000000002E-2</c:v>
                </c:pt>
                <c:pt idx="5">
                  <c:v>4.9000000000000002E-2</c:v>
                </c:pt>
                <c:pt idx="6">
                  <c:v>4.9000000000000002E-2</c:v>
                </c:pt>
                <c:pt idx="7">
                  <c:v>4.9000000000000002E-2</c:v>
                </c:pt>
                <c:pt idx="8">
                  <c:v>4.9000000000000002E-2</c:v>
                </c:pt>
                <c:pt idx="9">
                  <c:v>4.9000000000000002E-2</c:v>
                </c:pt>
                <c:pt idx="10">
                  <c:v>4.9000000000000002E-2</c:v>
                </c:pt>
                <c:pt idx="11">
                  <c:v>4.9000000000000002E-2</c:v>
                </c:pt>
              </c:numCache>
            </c:numRef>
          </c:val>
          <c:smooth val="0"/>
          <c:extLst>
            <c:ext xmlns:c16="http://schemas.microsoft.com/office/drawing/2014/chart" uri="{C3380CC4-5D6E-409C-BE32-E72D297353CC}">
              <c16:uniqueId val="{00000001-8A91-4833-A69D-36EFCE41DA2D}"/>
            </c:ext>
          </c:extLst>
        </c:ser>
        <c:dLbls>
          <c:showLegendKey val="0"/>
          <c:showVal val="0"/>
          <c:showCatName val="0"/>
          <c:showSerName val="0"/>
          <c:showPercent val="0"/>
          <c:showBubbleSize val="0"/>
        </c:dLbls>
        <c:marker val="1"/>
        <c:smooth val="0"/>
        <c:axId val="1773030671"/>
        <c:axId val="1773015695"/>
      </c:lineChart>
      <c:catAx>
        <c:axId val="177302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773017775"/>
        <c:crosses val="autoZero"/>
        <c:auto val="1"/>
        <c:lblAlgn val="ctr"/>
        <c:lblOffset val="100"/>
        <c:noMultiLvlLbl val="0"/>
      </c:catAx>
      <c:valAx>
        <c:axId val="1773017775"/>
        <c:scaling>
          <c:orientation val="minMax"/>
          <c:max val="2.9000000000000005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773021103"/>
        <c:crosses val="autoZero"/>
        <c:crossBetween val="between"/>
      </c:valAx>
      <c:valAx>
        <c:axId val="1773015695"/>
        <c:scaling>
          <c:orientation val="minMax"/>
          <c:min val="1.0000000000000002E-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773030671"/>
        <c:crosses val="max"/>
        <c:crossBetween val="between"/>
      </c:valAx>
      <c:catAx>
        <c:axId val="1773030671"/>
        <c:scaling>
          <c:orientation val="minMax"/>
        </c:scaling>
        <c:delete val="1"/>
        <c:axPos val="b"/>
        <c:numFmt formatCode="General" sourceLinked="1"/>
        <c:majorTickMark val="out"/>
        <c:minorTickMark val="none"/>
        <c:tickLblPos val="nextTo"/>
        <c:crossAx val="17730156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Inflación (porcentual)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title>
    <c:autoTitleDeleted val="0"/>
    <c:plotArea>
      <c:layout/>
      <c:lineChart>
        <c:grouping val="standard"/>
        <c:varyColors val="0"/>
        <c:ser>
          <c:idx val="0"/>
          <c:order val="0"/>
          <c:tx>
            <c:strRef>
              <c:f>'INPC (Inflación)'!$C$9</c:f>
              <c:strCache>
                <c:ptCount val="1"/>
                <c:pt idx="0">
                  <c:v>Inflación</c:v>
                </c:pt>
              </c:strCache>
            </c:strRef>
          </c:tx>
          <c:spPr>
            <a:ln w="28575" cap="rnd">
              <a:solidFill>
                <a:srgbClr val="1E5B4F"/>
              </a:solidFill>
              <a:round/>
            </a:ln>
            <a:effectLst/>
          </c:spPr>
          <c:marker>
            <c:symbol val="circle"/>
            <c:size val="5"/>
            <c:spPr>
              <a:solidFill>
                <a:srgbClr val="1E5B4F"/>
              </a:solidFill>
              <a:ln w="9525">
                <a:solidFill>
                  <a:srgbClr val="1E5B4F"/>
                </a:solidFill>
              </a:ln>
              <a:effectLst/>
            </c:spPr>
          </c:marker>
          <c:dLbls>
            <c:dLbl>
              <c:idx val="9"/>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8C8-4D9A-A5F6-3CB0703474D0}"/>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8C8-4D9A-A5F6-3CB0703474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'INPC (Inflación)'!$B$10:$B$21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'INPC (Inflación)'!$C$10:$C$21</c:f>
              <c:numCache>
                <c:formatCode>General</c:formatCode>
                <c:ptCount val="12"/>
                <c:pt idx="0">
                  <c:v>4.32</c:v>
                </c:pt>
                <c:pt idx="1">
                  <c:v>3.51</c:v>
                </c:pt>
                <c:pt idx="2">
                  <c:v>3.57</c:v>
                </c:pt>
                <c:pt idx="3">
                  <c:v>3.76</c:v>
                </c:pt>
                <c:pt idx="4">
                  <c:v>3.57</c:v>
                </c:pt>
                <c:pt idx="5">
                  <c:v>3.8</c:v>
                </c:pt>
                <c:pt idx="6">
                  <c:v>3.69</c:v>
                </c:pt>
                <c:pt idx="7">
                  <c:v>3.79</c:v>
                </c:pt>
                <c:pt idx="8">
                  <c:v>4.0199999999999996</c:v>
                </c:pt>
                <c:pt idx="9">
                  <c:v>4.59</c:v>
                </c:pt>
                <c:pt idx="10">
                  <c:v>4.45</c:v>
                </c:pt>
                <c:pt idx="11">
                  <c:v>3.94</c:v>
                </c:pt>
              </c:numCache>
            </c:numRef>
          </c:val>
          <c:smooth val="0"/>
          <c:extLst>
            <c:ext xmlns:c16="http://schemas.microsoft.com/office/drawing/2014/chart" uri="{C3380CC4-5D6E-409C-BE32-E72D297353CC}">
              <c16:uniqueId val="{00000000-28C8-4D9A-A5F6-3CB0703474D0}"/>
            </c:ext>
          </c:extLst>
        </c:ser>
        <c:ser>
          <c:idx val="1"/>
          <c:order val="1"/>
          <c:tx>
            <c:strRef>
              <c:f>'INPC (Inflación)'!$D$9</c:f>
              <c:strCache>
                <c:ptCount val="1"/>
                <c:pt idx="0">
                  <c:v>Subyacente</c:v>
                </c:pt>
              </c:strCache>
            </c:strRef>
          </c:tx>
          <c:spPr>
            <a:ln w="28575" cap="rnd">
              <a:solidFill>
                <a:srgbClr val="9C2348"/>
              </a:solidFill>
              <a:round/>
            </a:ln>
            <a:effectLst/>
          </c:spPr>
          <c:marker>
            <c:symbol val="circle"/>
            <c:size val="5"/>
            <c:spPr>
              <a:solidFill>
                <a:srgbClr val="9C2348"/>
              </a:solidFill>
              <a:ln w="9525">
                <a:solidFill>
                  <a:srgbClr val="9C2348"/>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4-28C8-4D9A-A5F6-3CB0703474D0}"/>
                </c:ext>
              </c:extLst>
            </c:dLbl>
            <c:dLbl>
              <c:idx val="9"/>
              <c:delete val="1"/>
              <c:extLst>
                <c:ext xmlns:c15="http://schemas.microsoft.com/office/drawing/2012/chart" uri="{CE6537A1-D6FC-4f65-9D91-7224C49458BB}"/>
                <c:ext xmlns:c16="http://schemas.microsoft.com/office/drawing/2014/chart" uri="{C3380CC4-5D6E-409C-BE32-E72D297353CC}">
                  <c16:uniqueId val="{00000005-28C8-4D9A-A5F6-3CB0703474D0}"/>
                </c:ext>
              </c:extLst>
            </c:dLbl>
            <c:dLbl>
              <c:idx val="10"/>
              <c:delete val="1"/>
              <c:extLst>
                <c:ext xmlns:c15="http://schemas.microsoft.com/office/drawing/2012/chart" uri="{CE6537A1-D6FC-4f65-9D91-7224C49458BB}"/>
                <c:ext xmlns:c16="http://schemas.microsoft.com/office/drawing/2014/chart" uri="{C3380CC4-5D6E-409C-BE32-E72D297353CC}">
                  <c16:uniqueId val="{0000000A-28C8-4D9A-A5F6-3CB0703474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2348"/>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'INPC (Inflación)'!$B$10:$B$21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'INPC (Inflación)'!$D$10:$D$21</c:f>
              <c:numCache>
                <c:formatCode>General</c:formatCode>
                <c:ptCount val="12"/>
                <c:pt idx="0">
                  <c:v>4.24</c:v>
                </c:pt>
                <c:pt idx="1">
                  <c:v>4.2300000000000004</c:v>
                </c:pt>
                <c:pt idx="2">
                  <c:v>4.2300000000000004</c:v>
                </c:pt>
                <c:pt idx="3">
                  <c:v>4.28</c:v>
                </c:pt>
                <c:pt idx="4">
                  <c:v>4.28</c:v>
                </c:pt>
                <c:pt idx="5">
                  <c:v>4.43</c:v>
                </c:pt>
                <c:pt idx="6">
                  <c:v>4.33</c:v>
                </c:pt>
                <c:pt idx="7">
                  <c:v>4.5199999999999996</c:v>
                </c:pt>
                <c:pt idx="8">
                  <c:v>4.5</c:v>
                </c:pt>
                <c:pt idx="9">
                  <c:v>4.45</c:v>
                </c:pt>
                <c:pt idx="10">
                  <c:v>4.26</c:v>
                </c:pt>
                <c:pt idx="11">
                  <c:v>4.1900000000000004</c:v>
                </c:pt>
              </c:numCache>
            </c:numRef>
          </c:val>
          <c:smooth val="0"/>
          <c:extLst>
            <c:ext xmlns:c16="http://schemas.microsoft.com/office/drawing/2014/chart" uri="{C3380CC4-5D6E-409C-BE32-E72D297353CC}">
              <c16:uniqueId val="{00000001-28C8-4D9A-A5F6-3CB0703474D0}"/>
            </c:ext>
          </c:extLst>
        </c:ser>
        <c:ser>
          <c:idx val="2"/>
          <c:order val="2"/>
          <c:tx>
            <c:strRef>
              <c:f>'INPC (Inflación)'!$E$9</c:f>
              <c:strCache>
                <c:ptCount val="1"/>
                <c:pt idx="0">
                  <c:v>No subyacente</c:v>
                </c:pt>
              </c:strCache>
            </c:strRef>
          </c:tx>
          <c:spPr>
            <a:ln w="28575" cap="rnd">
              <a:solidFill>
                <a:srgbClr val="A6802D"/>
              </a:solidFill>
              <a:round/>
            </a:ln>
            <a:effectLst/>
          </c:spPr>
          <c:marker>
            <c:symbol val="circle"/>
            <c:size val="5"/>
            <c:spPr>
              <a:solidFill>
                <a:srgbClr val="A6802D"/>
              </a:solidFill>
              <a:ln w="9525">
                <a:solidFill>
                  <a:srgbClr val="A6802D"/>
                </a:solidFill>
              </a:ln>
              <a:effectLst/>
            </c:spPr>
          </c:marker>
          <c:dLbls>
            <c:dLbl>
              <c:idx val="1"/>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C8-4D9A-A5F6-3CB0703474D0}"/>
                </c:ext>
              </c:extLst>
            </c:dLbl>
            <c:dLbl>
              <c:idx val="8"/>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C8-4D9A-A5F6-3CB0703474D0}"/>
                </c:ext>
              </c:extLst>
            </c:dLbl>
            <c:dLbl>
              <c:idx val="1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extLst>
                <c:ext xmlns:c16="http://schemas.microsoft.com/office/drawing/2014/chart" uri="{C3380CC4-5D6E-409C-BE32-E72D297353CC}">
                  <c16:uniqueId val="{00000006-28C8-4D9A-A5F6-3CB0703474D0}"/>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C8-4D9A-A5F6-3CB0703474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'INPC (Inflación)'!$B$10:$B$21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'INPC (Inflación)'!$E$10:$E$21</c:f>
              <c:numCache>
                <c:formatCode>General</c:formatCode>
                <c:ptCount val="12"/>
                <c:pt idx="0">
                  <c:v>4.33</c:v>
                </c:pt>
                <c:pt idx="1">
                  <c:v>1.1399999999999999</c:v>
                </c:pt>
                <c:pt idx="2">
                  <c:v>1.38</c:v>
                </c:pt>
                <c:pt idx="3">
                  <c:v>2.02</c:v>
                </c:pt>
                <c:pt idx="4">
                  <c:v>1.18</c:v>
                </c:pt>
                <c:pt idx="5">
                  <c:v>1.73</c:v>
                </c:pt>
                <c:pt idx="6">
                  <c:v>1.61</c:v>
                </c:pt>
                <c:pt idx="7">
                  <c:v>1.39</c:v>
                </c:pt>
                <c:pt idx="8">
                  <c:v>2.44</c:v>
                </c:pt>
                <c:pt idx="9">
                  <c:v>5.05</c:v>
                </c:pt>
                <c:pt idx="10">
                  <c:v>5.08</c:v>
                </c:pt>
                <c:pt idx="11">
                  <c:v>3.1</c:v>
                </c:pt>
              </c:numCache>
            </c:numRef>
          </c:val>
          <c:smooth val="0"/>
          <c:extLst>
            <c:ext xmlns:c16="http://schemas.microsoft.com/office/drawing/2014/chart" uri="{C3380CC4-5D6E-409C-BE32-E72D297353CC}">
              <c16:uniqueId val="{00000002-28C8-4D9A-A5F6-3CB0703474D0}"/>
            </c:ext>
          </c:extLst>
        </c:ser>
        <c:ser>
          <c:idx val="3"/>
          <c:order val="3"/>
          <c:tx>
            <c:strRef>
              <c:f>'INPC (Inflación)'!$F$9</c:f>
              <c:strCache>
                <c:ptCount val="1"/>
                <c:pt idx="0">
                  <c:v>Banxico</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B6-4570-8CA7-511ED05B68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'INPC (Inflación)'!$B$10:$B$21</c:f>
              <c:strCache>
                <c:ptCount val="12"/>
                <c:pt idx="0">
                  <c:v>Jun 25</c:v>
                </c:pt>
                <c:pt idx="1">
                  <c:v>Jul 25</c:v>
                </c:pt>
                <c:pt idx="2">
                  <c:v>Ago 25</c:v>
                </c:pt>
                <c:pt idx="3">
                  <c:v>Sep 25</c:v>
                </c:pt>
                <c:pt idx="4">
                  <c:v>Oct 25</c:v>
                </c:pt>
                <c:pt idx="5">
                  <c:v>Nov 25</c:v>
                </c:pt>
                <c:pt idx="6">
                  <c:v>Dic 25</c:v>
                </c:pt>
                <c:pt idx="7">
                  <c:v>Ene 26</c:v>
                </c:pt>
                <c:pt idx="8">
                  <c:v>Feb 26</c:v>
                </c:pt>
                <c:pt idx="9">
                  <c:v>Mar 26</c:v>
                </c:pt>
                <c:pt idx="10">
                  <c:v>Abr 26</c:v>
                </c:pt>
                <c:pt idx="11">
                  <c:v>May 26</c:v>
                </c:pt>
              </c:strCache>
            </c:strRef>
          </c:cat>
          <c:val>
            <c:numRef>
              <c:f>'INPC (Inflación)'!$F$10:$F$21</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smooth val="0"/>
          <c:extLst>
            <c:ext xmlns:c16="http://schemas.microsoft.com/office/drawing/2014/chart" uri="{C3380CC4-5D6E-409C-BE32-E72D297353CC}">
              <c16:uniqueId val="{00000000-86B6-4570-8CA7-511ED05B6894}"/>
            </c:ext>
          </c:extLst>
        </c:ser>
        <c:dLbls>
          <c:showLegendKey val="0"/>
          <c:showVal val="0"/>
          <c:showCatName val="0"/>
          <c:showSerName val="0"/>
          <c:showPercent val="0"/>
          <c:showBubbleSize val="0"/>
        </c:dLbls>
        <c:marker val="1"/>
        <c:smooth val="0"/>
        <c:axId val="1771803888"/>
        <c:axId val="1771804720"/>
      </c:lineChart>
      <c:catAx>
        <c:axId val="17718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771804720"/>
        <c:crosses val="autoZero"/>
        <c:auto val="1"/>
        <c:lblAlgn val="ctr"/>
        <c:lblOffset val="100"/>
        <c:noMultiLvlLbl val="0"/>
      </c:catAx>
      <c:valAx>
        <c:axId val="1771804720"/>
        <c:scaling>
          <c:orientation val="minMax"/>
          <c:max val="5.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crossAx val="1771803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19049</xdr:colOff>
      <xdr:row>7</xdr:row>
      <xdr:rowOff>247649</xdr:rowOff>
    </xdr:from>
    <xdr:to>
      <xdr:col>16</xdr:col>
      <xdr:colOff>9524</xdr:colOff>
      <xdr:row>33</xdr:row>
      <xdr:rowOff>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9524</xdr:colOff>
      <xdr:row>8</xdr:row>
      <xdr:rowOff>9525</xdr:rowOff>
    </xdr:from>
    <xdr:to>
      <xdr:col>20</xdr:col>
      <xdr:colOff>609600</xdr:colOff>
      <xdr:row>34</xdr:row>
      <xdr:rowOff>142875</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xdr:colOff>
      <xdr:row>8</xdr:row>
      <xdr:rowOff>19050</xdr:rowOff>
    </xdr:from>
    <xdr:to>
      <xdr:col>17</xdr:col>
      <xdr:colOff>9525</xdr:colOff>
      <xdr:row>30</xdr:row>
      <xdr:rowOff>19050</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23811</xdr:colOff>
      <xdr:row>8</xdr:row>
      <xdr:rowOff>9524</xdr:rowOff>
    </xdr:from>
    <xdr:to>
      <xdr:col>16</xdr:col>
      <xdr:colOff>9525</xdr:colOff>
      <xdr:row>27</xdr:row>
      <xdr:rowOff>190499</xdr:rowOff>
    </xdr:to>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430893</xdr:colOff>
      <xdr:row>8</xdr:row>
      <xdr:rowOff>379185</xdr:rowOff>
    </xdr:from>
    <xdr:to>
      <xdr:col>14</xdr:col>
      <xdr:colOff>181428</xdr:colOff>
      <xdr:row>34</xdr:row>
      <xdr:rowOff>9071</xdr:rowOff>
    </xdr:to>
    <xdr:graphicFrame macro="">
      <xdr:nvGraphicFramePr>
        <xdr:cNvPr id="3" name="Gráfico 2">
          <a:extLst>
            <a:ext uri="{FF2B5EF4-FFF2-40B4-BE49-F238E27FC236}">
              <a16:creationId xmlns:a16="http://schemas.microsoft.com/office/drawing/2014/main" id="{3DEE6BD6-020D-19F5-237E-FE15CC650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380999</xdr:colOff>
      <xdr:row>8</xdr:row>
      <xdr:rowOff>9524</xdr:rowOff>
    </xdr:from>
    <xdr:to>
      <xdr:col>17</xdr:col>
      <xdr:colOff>752474</xdr:colOff>
      <xdr:row>29</xdr:row>
      <xdr:rowOff>180974</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4761</xdr:colOff>
      <xdr:row>8</xdr:row>
      <xdr:rowOff>0</xdr:rowOff>
    </xdr:from>
    <xdr:to>
      <xdr:col>15</xdr:col>
      <xdr:colOff>809624</xdr:colOff>
      <xdr:row>29</xdr:row>
      <xdr:rowOff>171450</xdr:rowOff>
    </xdr:to>
    <xdr:graphicFrame macro="">
      <xdr:nvGraphicFramePr>
        <xdr:cNvPr id="6" name="Gráfico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9524</xdr:colOff>
      <xdr:row>7</xdr:row>
      <xdr:rowOff>190500</xdr:rowOff>
    </xdr:from>
    <xdr:to>
      <xdr:col>17</xdr:col>
      <xdr:colOff>0</xdr:colOff>
      <xdr:row>30</xdr:row>
      <xdr:rowOff>28575</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14286</xdr:colOff>
      <xdr:row>8</xdr:row>
      <xdr:rowOff>19050</xdr:rowOff>
    </xdr:from>
    <xdr:to>
      <xdr:col>15</xdr:col>
      <xdr:colOff>761999</xdr:colOff>
      <xdr:row>33</xdr:row>
      <xdr:rowOff>85725</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4762</xdr:colOff>
      <xdr:row>7</xdr:row>
      <xdr:rowOff>247649</xdr:rowOff>
    </xdr:from>
    <xdr:to>
      <xdr:col>17</xdr:col>
      <xdr:colOff>742950</xdr:colOff>
      <xdr:row>29</xdr:row>
      <xdr:rowOff>190499</xdr:rowOff>
    </xdr:to>
    <xdr:graphicFrame macro="">
      <xdr:nvGraphicFramePr>
        <xdr:cNvPr id="3" name="Gráfico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2" name="Tabla2" displayName="Tabla2" ref="B9:F21" totalsRowShown="0" headerRowDxfId="6" dataDxfId="5">
  <tableColumns count="5">
    <tableColumn id="1" name="Mes" dataDxfId="4"/>
    <tableColumn id="2" name="Inflación" dataDxfId="3"/>
    <tableColumn id="5" name="Subyacente" dataDxfId="2"/>
    <tableColumn id="4" name="No subyacente" dataDxfId="1"/>
    <tableColumn id="3" name="Banxic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4"/>
  <sheetViews>
    <sheetView topLeftCell="A7" workbookViewId="0">
      <selection activeCell="B34" sqref="B34"/>
    </sheetView>
  </sheetViews>
  <sheetFormatPr baseColWidth="10" defaultRowHeight="15" x14ac:dyDescent="0.25"/>
  <cols>
    <col min="1" max="1" width="5.7109375" customWidth="1"/>
    <col min="2" max="2" width="15.7109375" customWidth="1"/>
    <col min="3" max="3" width="12.28515625" bestFit="1" customWidth="1"/>
    <col min="4" max="4" width="14" bestFit="1" customWidth="1"/>
    <col min="5" max="5" width="5.7109375" customWidth="1"/>
    <col min="6" max="21" width="12.28515625" bestFit="1" customWidth="1"/>
  </cols>
  <sheetData>
    <row r="2" spans="2:21" ht="20.100000000000001" customHeight="1" x14ac:dyDescent="0.4">
      <c r="B2" s="18" t="s">
        <v>25</v>
      </c>
      <c r="C2" s="41" t="s">
        <v>31</v>
      </c>
      <c r="D2" s="42"/>
      <c r="E2" s="42"/>
      <c r="F2" s="42"/>
      <c r="G2" s="42"/>
      <c r="H2" s="42"/>
      <c r="I2" s="42"/>
      <c r="J2" s="42"/>
      <c r="K2" s="42"/>
      <c r="L2" s="42"/>
      <c r="M2" s="42"/>
      <c r="N2" s="42"/>
      <c r="O2" s="42"/>
      <c r="P2" s="42"/>
    </row>
    <row r="3" spans="2:21" ht="39.950000000000003" customHeight="1" x14ac:dyDescent="0.25">
      <c r="B3" s="18" t="s">
        <v>26</v>
      </c>
      <c r="C3" s="45" t="s">
        <v>32</v>
      </c>
      <c r="D3" s="46"/>
      <c r="E3" s="46"/>
      <c r="F3" s="46"/>
      <c r="G3" s="46"/>
      <c r="H3" s="46"/>
      <c r="I3" s="46"/>
      <c r="J3" s="46"/>
      <c r="K3" s="46"/>
      <c r="L3" s="46"/>
      <c r="M3" s="46"/>
      <c r="N3" s="46"/>
      <c r="O3" s="46"/>
      <c r="P3" s="47"/>
    </row>
    <row r="4" spans="2:21" ht="20.100000000000001" customHeight="1" x14ac:dyDescent="0.4">
      <c r="B4" s="18" t="s">
        <v>28</v>
      </c>
      <c r="C4" s="41" t="s">
        <v>29</v>
      </c>
      <c r="D4" s="42"/>
      <c r="E4" s="42"/>
      <c r="F4" s="42"/>
      <c r="G4" s="42"/>
      <c r="H4" s="42"/>
      <c r="I4" s="42"/>
      <c r="J4" s="42"/>
      <c r="K4" s="42"/>
      <c r="L4" s="42"/>
      <c r="M4" s="42"/>
      <c r="N4" s="42"/>
      <c r="O4" s="42"/>
      <c r="P4" s="42"/>
    </row>
    <row r="5" spans="2:21" ht="20.100000000000001" customHeight="1" x14ac:dyDescent="0.4">
      <c r="B5" s="18" t="s">
        <v>30</v>
      </c>
      <c r="C5" s="41" t="s">
        <v>33</v>
      </c>
      <c r="D5" s="42"/>
      <c r="E5" s="42"/>
      <c r="F5" s="42"/>
      <c r="G5" s="42"/>
      <c r="H5" s="42"/>
      <c r="I5" s="42"/>
      <c r="J5" s="42"/>
      <c r="K5" s="42"/>
      <c r="L5" s="42"/>
      <c r="M5" s="42"/>
      <c r="N5" s="42"/>
      <c r="O5" s="42"/>
      <c r="P5" s="42"/>
    </row>
    <row r="6" spans="2:21" ht="20.100000000000001" customHeight="1" x14ac:dyDescent="0.4">
      <c r="B6" s="18" t="s">
        <v>27</v>
      </c>
      <c r="C6" s="41" t="s">
        <v>74</v>
      </c>
      <c r="D6" s="42"/>
      <c r="E6" s="42"/>
      <c r="F6" s="42"/>
      <c r="G6" s="42"/>
      <c r="H6" s="42"/>
      <c r="I6" s="42"/>
      <c r="J6" s="42"/>
      <c r="K6" s="42"/>
      <c r="L6" s="42"/>
      <c r="M6" s="42"/>
      <c r="N6" s="42"/>
      <c r="O6" s="42"/>
      <c r="P6" s="42"/>
    </row>
    <row r="7" spans="2:21" ht="39.950000000000003" customHeight="1" x14ac:dyDescent="0.4">
      <c r="B7" s="19" t="s">
        <v>35</v>
      </c>
      <c r="C7" s="43" t="s">
        <v>36</v>
      </c>
      <c r="D7" s="44"/>
      <c r="E7" s="44"/>
      <c r="F7" s="44"/>
      <c r="G7" s="44"/>
      <c r="H7" s="44"/>
      <c r="I7" s="44"/>
      <c r="J7" s="44"/>
      <c r="K7" s="44"/>
      <c r="L7" s="44"/>
      <c r="M7" s="44"/>
      <c r="N7" s="44"/>
      <c r="O7" s="44"/>
      <c r="P7" s="44"/>
    </row>
    <row r="8" spans="2:21" ht="20.100000000000001" customHeight="1" x14ac:dyDescent="0.45">
      <c r="B8" s="6"/>
      <c r="C8" s="6"/>
      <c r="D8" s="6"/>
      <c r="E8" s="6"/>
      <c r="F8" s="6"/>
      <c r="G8" s="6"/>
      <c r="H8" s="6"/>
      <c r="I8" s="6"/>
      <c r="J8" s="6"/>
      <c r="K8" s="6"/>
      <c r="L8" s="6"/>
      <c r="M8" s="6"/>
      <c r="N8" s="6"/>
      <c r="O8" s="6"/>
      <c r="P8" s="6"/>
      <c r="Q8" s="6"/>
      <c r="R8" s="6"/>
      <c r="S8" s="6"/>
      <c r="T8" s="6"/>
      <c r="U8" s="6"/>
    </row>
    <row r="9" spans="2:21" ht="19.5" x14ac:dyDescent="0.45">
      <c r="B9" s="10" t="s">
        <v>34</v>
      </c>
      <c r="C9" s="8" t="s">
        <v>14</v>
      </c>
      <c r="D9" s="8" t="s">
        <v>13</v>
      </c>
      <c r="E9" s="6"/>
      <c r="F9" s="6"/>
      <c r="G9" s="6"/>
      <c r="H9" s="6"/>
      <c r="I9" s="6"/>
      <c r="J9" s="6"/>
      <c r="K9" s="6"/>
      <c r="L9" s="6"/>
      <c r="M9" s="6"/>
      <c r="N9" s="6"/>
      <c r="O9" s="6"/>
      <c r="P9" s="6"/>
      <c r="Q9" s="6"/>
      <c r="R9" s="6"/>
      <c r="S9" s="6"/>
      <c r="T9" s="6"/>
      <c r="U9" s="6"/>
    </row>
    <row r="10" spans="2:21" ht="19.5" x14ac:dyDescent="0.45">
      <c r="B10" s="11" t="s">
        <v>17</v>
      </c>
      <c r="C10" s="9">
        <v>22841359.699999999</v>
      </c>
      <c r="D10" s="37">
        <f>1.9/100</f>
        <v>1.9E-2</v>
      </c>
      <c r="E10" s="6"/>
      <c r="F10" s="6"/>
      <c r="G10" s="6"/>
      <c r="H10" s="6"/>
      <c r="I10" s="6"/>
      <c r="J10" s="6"/>
      <c r="K10" s="6"/>
      <c r="L10" s="6"/>
      <c r="M10" s="6"/>
      <c r="N10" s="6"/>
      <c r="O10" s="6"/>
      <c r="P10" s="6"/>
      <c r="Q10" s="6"/>
      <c r="R10" s="6"/>
      <c r="S10" s="6"/>
      <c r="T10" s="6"/>
      <c r="U10" s="6"/>
    </row>
    <row r="11" spans="2:21" ht="19.5" x14ac:dyDescent="0.45">
      <c r="B11" s="11" t="s">
        <v>18</v>
      </c>
      <c r="C11" s="9">
        <v>23623455.100000001</v>
      </c>
      <c r="D11" s="37">
        <f>5.1/100</f>
        <v>5.0999999999999997E-2</v>
      </c>
      <c r="E11" s="6"/>
      <c r="F11" s="6"/>
      <c r="G11" s="6"/>
      <c r="H11" s="6"/>
      <c r="I11" s="6"/>
      <c r="J11" s="6"/>
      <c r="K11" s="6"/>
      <c r="L11" s="6"/>
      <c r="M11" s="6"/>
      <c r="N11" s="6"/>
      <c r="O11" s="6"/>
      <c r="P11" s="6"/>
      <c r="Q11" s="6"/>
      <c r="R11" s="6"/>
      <c r="S11" s="6"/>
      <c r="T11" s="6"/>
      <c r="U11" s="6"/>
    </row>
    <row r="12" spans="2:21" ht="19.5" x14ac:dyDescent="0.45">
      <c r="B12" s="11" t="s">
        <v>19</v>
      </c>
      <c r="C12" s="9">
        <v>23204796.800000001</v>
      </c>
      <c r="D12" s="37">
        <f>22.7/100</f>
        <v>0.22699999999999998</v>
      </c>
      <c r="E12" s="6"/>
      <c r="F12" s="6"/>
      <c r="G12" s="6"/>
      <c r="H12" s="6"/>
      <c r="I12" s="6"/>
      <c r="J12" s="6"/>
      <c r="K12" s="6"/>
      <c r="L12" s="6"/>
      <c r="M12" s="6"/>
      <c r="N12" s="6"/>
      <c r="O12" s="6"/>
      <c r="P12" s="6"/>
      <c r="Q12" s="6"/>
      <c r="R12" s="6"/>
      <c r="S12" s="6"/>
      <c r="T12" s="6"/>
      <c r="U12" s="6"/>
    </row>
    <row r="13" spans="2:21" ht="19.5" x14ac:dyDescent="0.45">
      <c r="B13" s="11" t="s">
        <v>20</v>
      </c>
      <c r="C13" s="9">
        <v>23949712.899999999</v>
      </c>
      <c r="D13" s="37">
        <f>-2.6/100</f>
        <v>-2.6000000000000002E-2</v>
      </c>
      <c r="E13" s="6"/>
      <c r="F13" s="6"/>
      <c r="G13" s="6"/>
      <c r="H13" s="6"/>
      <c r="I13" s="6"/>
      <c r="J13" s="6"/>
      <c r="K13" s="6"/>
      <c r="L13" s="6"/>
      <c r="M13" s="6"/>
      <c r="N13" s="6"/>
      <c r="O13" s="6"/>
      <c r="P13" s="6"/>
      <c r="Q13" s="6"/>
      <c r="R13" s="6"/>
      <c r="S13" s="6"/>
      <c r="T13" s="6"/>
      <c r="U13" s="6"/>
    </row>
    <row r="14" spans="2:21" ht="19.5" x14ac:dyDescent="0.45">
      <c r="B14" s="11" t="s">
        <v>21</v>
      </c>
      <c r="C14" s="9">
        <v>23440574.5</v>
      </c>
      <c r="D14" s="37">
        <f t="shared" ref="D14:D29" si="0">C14/C10-1</f>
        <v>2.6233762257156679E-2</v>
      </c>
      <c r="E14" s="6"/>
      <c r="F14" s="6"/>
      <c r="G14" s="6"/>
      <c r="H14" s="6"/>
      <c r="I14" s="6"/>
      <c r="J14" s="6"/>
      <c r="K14" s="6"/>
      <c r="L14" s="6"/>
      <c r="M14" s="6"/>
      <c r="N14" s="6"/>
      <c r="O14" s="6"/>
      <c r="P14" s="6"/>
      <c r="Q14" s="6"/>
      <c r="R14" s="6"/>
      <c r="S14" s="6"/>
      <c r="T14" s="6"/>
      <c r="U14" s="6"/>
    </row>
    <row r="15" spans="2:21" ht="19.5" x14ac:dyDescent="0.45">
      <c r="B15" s="11" t="s">
        <v>22</v>
      </c>
      <c r="C15" s="9">
        <v>24310024.300000001</v>
      </c>
      <c r="D15" s="37">
        <f t="shared" si="0"/>
        <v>2.9063030665653855E-2</v>
      </c>
      <c r="E15" s="6"/>
      <c r="F15" s="6"/>
      <c r="G15" s="6"/>
      <c r="H15" s="6"/>
      <c r="I15" s="6"/>
      <c r="J15" s="6"/>
      <c r="K15" s="6"/>
      <c r="L15" s="6"/>
      <c r="M15" s="6"/>
      <c r="N15" s="6"/>
      <c r="O15" s="6"/>
      <c r="P15" s="6"/>
      <c r="Q15" s="6"/>
      <c r="R15" s="6"/>
      <c r="S15" s="6"/>
      <c r="T15" s="6"/>
      <c r="U15" s="6"/>
    </row>
    <row r="16" spans="2:21" ht="19.5" x14ac:dyDescent="0.45">
      <c r="B16" s="11" t="s">
        <v>23</v>
      </c>
      <c r="C16" s="9">
        <v>24289379.5</v>
      </c>
      <c r="D16" s="37">
        <f t="shared" si="0"/>
        <v>4.6739590497081984E-2</v>
      </c>
      <c r="E16" s="6"/>
      <c r="F16" s="6"/>
      <c r="G16" s="6"/>
      <c r="H16" s="6"/>
      <c r="I16" s="6"/>
      <c r="J16" s="6"/>
      <c r="K16" s="6"/>
      <c r="L16" s="6"/>
      <c r="M16" s="6"/>
      <c r="N16" s="6"/>
      <c r="O16" s="6"/>
      <c r="P16" s="6"/>
      <c r="Q16" s="6"/>
      <c r="R16" s="6"/>
      <c r="S16" s="6"/>
      <c r="T16" s="6"/>
      <c r="U16" s="6"/>
    </row>
    <row r="17" spans="2:21" ht="19.5" x14ac:dyDescent="0.45">
      <c r="B17" s="11" t="s">
        <v>24</v>
      </c>
      <c r="C17" s="9">
        <v>25052395.800000001</v>
      </c>
      <c r="D17" s="37">
        <f t="shared" si="0"/>
        <v>4.6041591588348529E-2</v>
      </c>
      <c r="E17" s="6"/>
      <c r="F17" s="6"/>
      <c r="G17" s="6"/>
      <c r="H17" s="6"/>
      <c r="I17" s="6"/>
      <c r="J17" s="6"/>
      <c r="K17" s="6"/>
      <c r="L17" s="6"/>
      <c r="M17" s="6"/>
      <c r="N17" s="6"/>
      <c r="O17" s="6"/>
      <c r="P17" s="6"/>
      <c r="Q17" s="6"/>
      <c r="R17" s="6"/>
      <c r="S17" s="6"/>
      <c r="T17" s="6"/>
      <c r="U17" s="6"/>
    </row>
    <row r="18" spans="2:21" ht="19.5" x14ac:dyDescent="0.45">
      <c r="B18" s="11" t="s">
        <v>103</v>
      </c>
      <c r="C18" s="9">
        <v>24330982.5</v>
      </c>
      <c r="D18" s="37">
        <f t="shared" si="0"/>
        <v>3.7985758412192538E-2</v>
      </c>
      <c r="E18" s="6"/>
      <c r="F18" s="6"/>
      <c r="G18" s="6"/>
      <c r="H18" s="6"/>
      <c r="I18" s="6"/>
      <c r="J18" s="6"/>
      <c r="K18" s="6"/>
      <c r="L18" s="6"/>
      <c r="M18" s="6"/>
      <c r="N18" s="6"/>
      <c r="O18" s="6"/>
      <c r="P18" s="6"/>
      <c r="Q18" s="6"/>
      <c r="R18" s="6"/>
      <c r="S18" s="6"/>
      <c r="T18" s="6"/>
      <c r="U18" s="6"/>
    </row>
    <row r="19" spans="2:21" ht="19.5" x14ac:dyDescent="0.45">
      <c r="B19" s="11" t="s">
        <v>102</v>
      </c>
      <c r="C19" s="9">
        <v>25108268.199999999</v>
      </c>
      <c r="D19" s="37">
        <f t="shared" si="0"/>
        <v>3.2835997617657542E-2</v>
      </c>
      <c r="E19" s="6"/>
      <c r="F19" s="6"/>
      <c r="G19" s="6"/>
      <c r="H19" s="6"/>
      <c r="I19" s="6"/>
      <c r="J19" s="6"/>
      <c r="K19" s="6"/>
      <c r="L19" s="6"/>
      <c r="M19" s="6"/>
      <c r="N19" s="6"/>
      <c r="O19" s="6"/>
      <c r="P19" s="6"/>
      <c r="Q19" s="6"/>
      <c r="R19" s="6"/>
      <c r="S19" s="6"/>
      <c r="T19" s="6"/>
      <c r="U19" s="6"/>
    </row>
    <row r="20" spans="2:21" ht="19.5" x14ac:dyDescent="0.45">
      <c r="B20" s="11" t="s">
        <v>101</v>
      </c>
      <c r="C20" s="9">
        <v>25094793.100000001</v>
      </c>
      <c r="D20" s="37">
        <f t="shared" si="0"/>
        <v>3.3159085023147794E-2</v>
      </c>
      <c r="E20" s="6"/>
      <c r="F20" s="6"/>
      <c r="G20" s="6"/>
      <c r="H20" s="6"/>
      <c r="I20" s="6"/>
      <c r="J20" s="6"/>
      <c r="K20" s="6"/>
      <c r="L20" s="6"/>
      <c r="M20" s="6"/>
      <c r="N20" s="6"/>
      <c r="O20" s="6"/>
      <c r="P20" s="6"/>
      <c r="Q20" s="6"/>
      <c r="R20" s="6"/>
      <c r="S20" s="6"/>
      <c r="T20" s="6"/>
      <c r="U20" s="6"/>
    </row>
    <row r="21" spans="2:21" ht="19.5" x14ac:dyDescent="0.45">
      <c r="B21" s="11" t="s">
        <v>100</v>
      </c>
      <c r="C21" s="9">
        <v>25590082.600000001</v>
      </c>
      <c r="D21" s="37">
        <f t="shared" si="0"/>
        <v>2.1462490226184405E-2</v>
      </c>
      <c r="E21" s="6"/>
      <c r="F21" s="6"/>
      <c r="G21" s="6"/>
      <c r="H21" s="6"/>
      <c r="I21" s="6"/>
      <c r="J21" s="6"/>
      <c r="K21" s="6"/>
      <c r="L21" s="6"/>
      <c r="M21" s="6"/>
      <c r="N21" s="6"/>
      <c r="O21" s="6"/>
      <c r="P21" s="6"/>
      <c r="Q21" s="6"/>
      <c r="R21" s="6"/>
      <c r="S21" s="6"/>
      <c r="T21" s="6"/>
      <c r="U21" s="6"/>
    </row>
    <row r="22" spans="2:21" ht="19.5" x14ac:dyDescent="0.45">
      <c r="B22" s="11" t="s">
        <v>99</v>
      </c>
      <c r="C22" s="9">
        <v>24761655.5</v>
      </c>
      <c r="D22" s="37">
        <f t="shared" si="0"/>
        <v>1.7700600458695037E-2</v>
      </c>
      <c r="E22" s="6"/>
      <c r="F22" s="6"/>
      <c r="G22" s="6"/>
      <c r="H22" s="6"/>
      <c r="I22" s="6"/>
      <c r="J22" s="6"/>
      <c r="K22" s="6"/>
      <c r="L22" s="6"/>
      <c r="M22" s="6"/>
      <c r="N22" s="6"/>
      <c r="O22" s="6"/>
      <c r="P22" s="6"/>
      <c r="Q22" s="6"/>
      <c r="R22" s="6"/>
      <c r="S22" s="6"/>
      <c r="T22" s="6"/>
      <c r="U22" s="6"/>
    </row>
    <row r="23" spans="2:21" ht="19.5" x14ac:dyDescent="0.45">
      <c r="B23" s="11" t="s">
        <v>98</v>
      </c>
      <c r="C23" s="9">
        <v>25655479</v>
      </c>
      <c r="D23" s="37">
        <f t="shared" si="0"/>
        <v>2.1794047906497971E-2</v>
      </c>
      <c r="E23" s="6"/>
      <c r="F23" s="6"/>
      <c r="G23" s="6"/>
      <c r="H23" s="6"/>
      <c r="I23" s="6"/>
      <c r="J23" s="6"/>
      <c r="K23" s="6"/>
      <c r="L23" s="6"/>
      <c r="M23" s="6"/>
      <c r="N23" s="6"/>
      <c r="O23" s="6"/>
      <c r="P23" s="6"/>
      <c r="Q23" s="6"/>
      <c r="R23" s="6"/>
      <c r="S23" s="6"/>
      <c r="T23" s="6"/>
      <c r="U23" s="6"/>
    </row>
    <row r="24" spans="2:21" ht="19.5" x14ac:dyDescent="0.45">
      <c r="B24" s="11" t="s">
        <v>104</v>
      </c>
      <c r="C24" s="9">
        <v>25475446.399999999</v>
      </c>
      <c r="D24" s="37">
        <f t="shared" si="0"/>
        <v>1.5168616791664036E-2</v>
      </c>
      <c r="E24" s="6"/>
      <c r="F24" s="6"/>
      <c r="G24" s="6"/>
      <c r="H24" s="6"/>
      <c r="I24" s="6"/>
      <c r="J24" s="6"/>
      <c r="K24" s="6"/>
      <c r="L24" s="6"/>
      <c r="M24" s="6"/>
      <c r="N24" s="6"/>
      <c r="O24" s="6"/>
      <c r="P24" s="6"/>
      <c r="Q24" s="6"/>
      <c r="R24" s="6"/>
      <c r="S24" s="6"/>
      <c r="T24" s="6"/>
      <c r="U24" s="6"/>
    </row>
    <row r="25" spans="2:21" ht="19.5" x14ac:dyDescent="0.45">
      <c r="B25" s="11" t="s">
        <v>105</v>
      </c>
      <c r="C25" s="9">
        <v>25693293</v>
      </c>
      <c r="D25" s="37">
        <f t="shared" si="0"/>
        <v>4.0332187126272956E-3</v>
      </c>
      <c r="E25" s="6"/>
      <c r="F25" s="6"/>
      <c r="G25" s="6"/>
      <c r="H25" s="6"/>
      <c r="I25" s="6"/>
      <c r="J25" s="6"/>
      <c r="K25" s="6"/>
      <c r="L25" s="6"/>
      <c r="M25" s="6"/>
      <c r="N25" s="6"/>
      <c r="O25" s="6"/>
      <c r="P25" s="6"/>
      <c r="Q25" s="6"/>
      <c r="R25" s="6"/>
      <c r="S25" s="6"/>
      <c r="T25" s="6"/>
      <c r="U25" s="6"/>
    </row>
    <row r="26" spans="2:21" ht="19.5" x14ac:dyDescent="0.45">
      <c r="B26" s="11" t="s">
        <v>106</v>
      </c>
      <c r="C26" s="9">
        <v>24913610.300000001</v>
      </c>
      <c r="D26" s="37">
        <f t="shared" si="0"/>
        <v>6.1366979279717793E-3</v>
      </c>
      <c r="E26" s="6"/>
      <c r="F26" s="6"/>
      <c r="G26" s="6"/>
      <c r="H26" s="6"/>
      <c r="I26" s="6"/>
      <c r="J26" s="6"/>
      <c r="K26" s="6"/>
      <c r="L26" s="6"/>
      <c r="M26" s="6"/>
      <c r="N26" s="6"/>
      <c r="O26" s="6"/>
      <c r="P26" s="6"/>
      <c r="Q26" s="6"/>
      <c r="R26" s="6"/>
      <c r="S26" s="6"/>
      <c r="T26" s="6"/>
      <c r="U26" s="6"/>
    </row>
    <row r="27" spans="2:21" ht="19.5" x14ac:dyDescent="0.45">
      <c r="B27" s="11" t="s">
        <v>107</v>
      </c>
      <c r="C27" s="9">
        <v>25618678.800000001</v>
      </c>
      <c r="D27" s="37">
        <f t="shared" si="0"/>
        <v>-1.434399256392771E-3</v>
      </c>
      <c r="E27" s="6"/>
      <c r="F27" s="6"/>
      <c r="G27" s="6"/>
      <c r="H27" s="6"/>
      <c r="I27" s="6"/>
      <c r="J27" s="6"/>
      <c r="K27" s="6"/>
      <c r="L27" s="6"/>
      <c r="M27" s="6"/>
      <c r="N27" s="6"/>
      <c r="O27" s="6"/>
      <c r="P27" s="6"/>
      <c r="Q27" s="6"/>
      <c r="R27" s="6"/>
      <c r="S27" s="6"/>
      <c r="T27" s="6"/>
      <c r="U27" s="6"/>
    </row>
    <row r="28" spans="2:21" ht="19.5" x14ac:dyDescent="0.45">
      <c r="B28" s="11" t="s">
        <v>108</v>
      </c>
      <c r="C28" s="9">
        <v>25422850.199999999</v>
      </c>
      <c r="D28" s="37">
        <f t="shared" si="0"/>
        <v>-2.0645840380641989E-3</v>
      </c>
      <c r="E28" s="6"/>
      <c r="F28" s="6"/>
      <c r="G28" s="6"/>
      <c r="H28" s="6"/>
      <c r="I28" s="6"/>
      <c r="J28" s="6"/>
      <c r="K28" s="6"/>
      <c r="L28" s="6"/>
      <c r="M28" s="6"/>
      <c r="N28" s="6"/>
      <c r="O28" s="6"/>
      <c r="P28" s="6"/>
      <c r="Q28" s="6"/>
      <c r="R28" s="6"/>
      <c r="S28" s="6"/>
      <c r="T28" s="6"/>
      <c r="U28" s="6"/>
    </row>
    <row r="29" spans="2:21" ht="19.5" x14ac:dyDescent="0.45">
      <c r="B29" s="11" t="s">
        <v>109</v>
      </c>
      <c r="C29" s="9">
        <v>26135644.699999999</v>
      </c>
      <c r="D29" s="37">
        <f t="shared" si="0"/>
        <v>1.7216621473938654E-2</v>
      </c>
      <c r="E29" s="6"/>
      <c r="F29" s="6"/>
      <c r="G29" s="6"/>
      <c r="H29" s="6"/>
      <c r="I29" s="6"/>
      <c r="J29" s="6"/>
      <c r="K29" s="6"/>
      <c r="L29" s="6"/>
      <c r="M29" s="6"/>
      <c r="N29" s="6"/>
      <c r="O29" s="6"/>
      <c r="P29" s="6"/>
      <c r="Q29" s="6"/>
      <c r="R29" s="6"/>
      <c r="S29" s="6"/>
      <c r="T29" s="6"/>
      <c r="U29" s="6"/>
    </row>
    <row r="30" spans="2:21" ht="19.5" x14ac:dyDescent="0.45">
      <c r="B30" s="11" t="s">
        <v>110</v>
      </c>
      <c r="C30" s="9">
        <v>24973976.100000001</v>
      </c>
      <c r="D30" s="37">
        <f>C30/C26-1</f>
        <v>2.4230049066795711E-3</v>
      </c>
      <c r="E30" s="6"/>
      <c r="F30" s="6"/>
      <c r="G30" s="6"/>
      <c r="H30" s="6"/>
      <c r="I30" s="6"/>
      <c r="J30" s="6"/>
      <c r="K30" s="6"/>
      <c r="L30" s="6"/>
      <c r="M30" s="6"/>
      <c r="N30" s="6"/>
      <c r="O30" s="6"/>
      <c r="P30" s="6"/>
      <c r="Q30" s="6"/>
      <c r="R30" s="6"/>
      <c r="S30" s="6"/>
      <c r="T30" s="6"/>
      <c r="U30" s="6"/>
    </row>
    <row r="31" spans="2:21" ht="19.5" x14ac:dyDescent="0.45">
      <c r="B31" s="6"/>
      <c r="C31" s="6"/>
      <c r="D31" s="6"/>
      <c r="E31" s="6"/>
      <c r="F31" s="6"/>
      <c r="G31" s="6"/>
      <c r="H31" s="6"/>
      <c r="I31" s="6"/>
      <c r="J31" s="6"/>
      <c r="K31" s="6"/>
      <c r="L31" s="6"/>
      <c r="M31" s="6"/>
      <c r="N31" s="6"/>
      <c r="O31" s="6"/>
      <c r="P31" s="6"/>
      <c r="Q31" s="6"/>
      <c r="R31" s="6"/>
      <c r="S31" s="6"/>
      <c r="T31" s="6"/>
      <c r="U31" s="6"/>
    </row>
    <row r="32" spans="2:21" ht="19.5" x14ac:dyDescent="0.45">
      <c r="B32" s="25" t="s">
        <v>94</v>
      </c>
      <c r="C32" s="6"/>
      <c r="D32" s="6"/>
      <c r="E32" s="6"/>
      <c r="F32" s="6"/>
      <c r="G32" s="6"/>
      <c r="H32" s="6"/>
      <c r="I32" s="6"/>
      <c r="J32" s="6"/>
      <c r="K32" s="6"/>
      <c r="L32" s="6"/>
      <c r="M32" s="6"/>
      <c r="N32" s="6"/>
      <c r="O32" s="6"/>
      <c r="P32" s="6"/>
      <c r="Q32" s="6"/>
      <c r="R32" s="6"/>
      <c r="S32" s="6"/>
      <c r="T32" s="6"/>
      <c r="U32" s="6"/>
    </row>
    <row r="33" spans="2:21" ht="19.5" x14ac:dyDescent="0.45">
      <c r="B33" s="25" t="s">
        <v>95</v>
      </c>
      <c r="C33" s="6"/>
      <c r="D33" s="6"/>
      <c r="E33" s="6"/>
      <c r="F33" s="6"/>
      <c r="G33" s="6"/>
      <c r="H33" s="6"/>
      <c r="I33" s="6"/>
      <c r="J33" s="6"/>
      <c r="K33" s="6"/>
      <c r="L33" s="6"/>
      <c r="M33" s="6"/>
      <c r="N33" s="6"/>
      <c r="O33" s="6"/>
      <c r="P33" s="6"/>
      <c r="Q33" s="6"/>
      <c r="R33" s="6"/>
      <c r="S33" s="6"/>
      <c r="T33" s="6"/>
      <c r="U33" s="6"/>
    </row>
    <row r="34" spans="2:21" ht="19.5" x14ac:dyDescent="0.45">
      <c r="B34" s="6"/>
      <c r="C34" s="6"/>
      <c r="D34" s="6"/>
      <c r="E34" s="6"/>
      <c r="F34" s="6"/>
      <c r="G34" s="6"/>
      <c r="H34" s="6"/>
      <c r="I34" s="6"/>
      <c r="J34" s="6"/>
      <c r="K34" s="6"/>
      <c r="L34" s="6"/>
      <c r="M34" s="6"/>
      <c r="N34" s="6"/>
      <c r="O34" s="6"/>
      <c r="P34" s="6"/>
      <c r="Q34" s="6"/>
      <c r="R34" s="6"/>
      <c r="S34" s="6"/>
      <c r="T34" s="6"/>
      <c r="U34" s="6"/>
    </row>
  </sheetData>
  <mergeCells count="6">
    <mergeCell ref="C6:P6"/>
    <mergeCell ref="C7:P7"/>
    <mergeCell ref="C2:P2"/>
    <mergeCell ref="C3:P3"/>
    <mergeCell ref="C4:P4"/>
    <mergeCell ref="C5:P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25"/>
  <sheetViews>
    <sheetView topLeftCell="C7" workbookViewId="0">
      <selection activeCell="F28" sqref="F28"/>
    </sheetView>
  </sheetViews>
  <sheetFormatPr baseColWidth="10" defaultRowHeight="15" x14ac:dyDescent="0.25"/>
  <cols>
    <col min="1" max="1" width="5.7109375" customWidth="1"/>
    <col min="2" max="2" width="15.7109375" customWidth="1"/>
    <col min="3" max="3" width="12" bestFit="1" customWidth="1"/>
    <col min="4" max="4" width="14.42578125" customWidth="1"/>
    <col min="5" max="5" width="12.42578125" bestFit="1" customWidth="1"/>
    <col min="6" max="6" width="12" bestFit="1" customWidth="1"/>
    <col min="7" max="7" width="5.7109375" customWidth="1"/>
    <col min="8" max="22" width="12.28515625" bestFit="1" customWidth="1"/>
  </cols>
  <sheetData>
    <row r="2" spans="2:22" ht="20.100000000000001" customHeight="1" x14ac:dyDescent="0.4">
      <c r="B2" s="18" t="s">
        <v>25</v>
      </c>
      <c r="C2" s="41" t="s">
        <v>111</v>
      </c>
      <c r="D2" s="42"/>
      <c r="E2" s="42"/>
      <c r="F2" s="42"/>
      <c r="G2" s="42"/>
      <c r="H2" s="42"/>
      <c r="I2" s="42"/>
      <c r="J2" s="42"/>
      <c r="K2" s="42"/>
      <c r="L2" s="42"/>
      <c r="M2" s="42"/>
      <c r="N2" s="42"/>
      <c r="O2" s="42"/>
    </row>
    <row r="3" spans="2:22" ht="39.950000000000003" customHeight="1" x14ac:dyDescent="0.25">
      <c r="B3" s="18" t="s">
        <v>26</v>
      </c>
      <c r="C3" s="45" t="s">
        <v>143</v>
      </c>
      <c r="D3" s="46"/>
      <c r="E3" s="46"/>
      <c r="F3" s="46"/>
      <c r="G3" s="46"/>
      <c r="H3" s="46"/>
      <c r="I3" s="46"/>
      <c r="J3" s="46"/>
      <c r="K3" s="46"/>
      <c r="L3" s="46"/>
      <c r="M3" s="46"/>
      <c r="N3" s="46"/>
      <c r="O3" s="47"/>
    </row>
    <row r="4" spans="2:22" ht="20.100000000000001" customHeight="1" x14ac:dyDescent="0.4">
      <c r="B4" s="18" t="s">
        <v>28</v>
      </c>
      <c r="C4" s="41" t="s">
        <v>29</v>
      </c>
      <c r="D4" s="42"/>
      <c r="E4" s="42"/>
      <c r="F4" s="42"/>
      <c r="G4" s="42"/>
      <c r="H4" s="42"/>
      <c r="I4" s="42"/>
      <c r="J4" s="42"/>
      <c r="K4" s="42"/>
      <c r="L4" s="42"/>
      <c r="M4" s="42"/>
      <c r="N4" s="42"/>
      <c r="O4" s="42"/>
    </row>
    <row r="5" spans="2:22" ht="20.100000000000001" customHeight="1" x14ac:dyDescent="0.4">
      <c r="B5" s="18" t="s">
        <v>30</v>
      </c>
      <c r="C5" s="41" t="s">
        <v>33</v>
      </c>
      <c r="D5" s="42"/>
      <c r="E5" s="42"/>
      <c r="F5" s="42"/>
      <c r="G5" s="42"/>
      <c r="H5" s="42"/>
      <c r="I5" s="42"/>
      <c r="J5" s="42"/>
      <c r="K5" s="42"/>
      <c r="L5" s="42"/>
      <c r="M5" s="42"/>
      <c r="N5" s="42"/>
      <c r="O5" s="42"/>
      <c r="P5" s="42"/>
    </row>
    <row r="6" spans="2:22" ht="20.100000000000001" customHeight="1" x14ac:dyDescent="0.4">
      <c r="B6" s="18" t="s">
        <v>27</v>
      </c>
      <c r="C6" s="41" t="s">
        <v>74</v>
      </c>
      <c r="D6" s="42"/>
      <c r="E6" s="42"/>
      <c r="F6" s="42"/>
      <c r="G6" s="42"/>
      <c r="H6" s="42"/>
      <c r="I6" s="42"/>
      <c r="J6" s="42"/>
      <c r="K6" s="42"/>
      <c r="L6" s="42"/>
      <c r="M6" s="42"/>
      <c r="N6" s="42"/>
      <c r="O6" s="42"/>
      <c r="P6" s="42"/>
    </row>
    <row r="7" spans="2:22" ht="39.950000000000003" customHeight="1" x14ac:dyDescent="0.4">
      <c r="B7" s="19" t="s">
        <v>35</v>
      </c>
      <c r="C7" s="43" t="s">
        <v>115</v>
      </c>
      <c r="D7" s="44"/>
      <c r="E7" s="44"/>
      <c r="F7" s="44"/>
      <c r="G7" s="44"/>
      <c r="H7" s="44"/>
      <c r="I7" s="44"/>
      <c r="J7" s="44"/>
      <c r="K7" s="44"/>
      <c r="L7" s="44"/>
      <c r="M7" s="44"/>
      <c r="N7" s="44"/>
      <c r="O7" s="44"/>
    </row>
    <row r="8" spans="2:22" ht="20.100000000000001" customHeight="1" x14ac:dyDescent="0.45">
      <c r="B8" s="6"/>
      <c r="C8" s="6"/>
      <c r="D8" s="6"/>
      <c r="E8" s="6"/>
      <c r="F8" s="6"/>
      <c r="G8" s="6"/>
      <c r="H8" s="6"/>
      <c r="I8" s="6"/>
      <c r="J8" s="6"/>
      <c r="K8" s="6"/>
      <c r="L8" s="6"/>
      <c r="M8" s="6"/>
      <c r="N8" s="6"/>
      <c r="O8" s="6"/>
      <c r="P8" s="6"/>
      <c r="Q8" s="6"/>
      <c r="R8" s="6"/>
      <c r="S8" s="6"/>
      <c r="T8" s="6"/>
      <c r="U8" s="6"/>
      <c r="V8" s="6"/>
    </row>
    <row r="9" spans="2:22" ht="34.5" x14ac:dyDescent="0.45">
      <c r="B9" s="10" t="s">
        <v>34</v>
      </c>
      <c r="C9" s="8" t="s">
        <v>112</v>
      </c>
      <c r="D9" s="8" t="s">
        <v>113</v>
      </c>
      <c r="E9" s="8" t="s">
        <v>114</v>
      </c>
      <c r="F9" s="10" t="s">
        <v>144</v>
      </c>
      <c r="G9" s="6"/>
      <c r="H9" s="6"/>
      <c r="N9" s="6"/>
      <c r="O9" s="6"/>
      <c r="P9" s="6"/>
    </row>
    <row r="10" spans="2:22" ht="19.5" x14ac:dyDescent="0.45">
      <c r="B10" s="11" t="s">
        <v>117</v>
      </c>
      <c r="C10" s="9">
        <v>835925.6</v>
      </c>
      <c r="D10" s="9">
        <v>7884149.7999999998</v>
      </c>
      <c r="E10" s="32">
        <v>14688940.9</v>
      </c>
      <c r="F10" s="33">
        <f>0.6/100</f>
        <v>6.0000000000000001E-3</v>
      </c>
      <c r="G10" s="6"/>
      <c r="H10" s="6"/>
      <c r="N10" s="6"/>
      <c r="O10" s="6"/>
      <c r="P10" s="6"/>
    </row>
    <row r="11" spans="2:22" ht="19.5" x14ac:dyDescent="0.45">
      <c r="B11" s="11" t="s">
        <v>118</v>
      </c>
      <c r="C11" s="9">
        <v>836799.6</v>
      </c>
      <c r="D11" s="9">
        <v>7943263.2999999998</v>
      </c>
      <c r="E11" s="32">
        <v>14820043.5</v>
      </c>
      <c r="F11" s="33">
        <f>0.8/100</f>
        <v>8.0000000000000002E-3</v>
      </c>
      <c r="G11" s="6"/>
      <c r="H11" s="6"/>
      <c r="N11" s="6"/>
      <c r="O11" s="6"/>
      <c r="P11" s="6"/>
    </row>
    <row r="12" spans="2:22" ht="19.5" x14ac:dyDescent="0.45">
      <c r="B12" s="11" t="s">
        <v>119</v>
      </c>
      <c r="C12" s="9">
        <v>819095.7</v>
      </c>
      <c r="D12" s="9">
        <v>8016288.2999999998</v>
      </c>
      <c r="E12" s="32">
        <v>14946803</v>
      </c>
      <c r="F12" s="33">
        <f>0.8/100</f>
        <v>8.0000000000000002E-3</v>
      </c>
      <c r="G12" s="6"/>
      <c r="H12" s="6"/>
      <c r="N12" s="6"/>
      <c r="O12" s="6"/>
      <c r="P12" s="6"/>
    </row>
    <row r="13" spans="2:22" ht="19.5" x14ac:dyDescent="0.45">
      <c r="B13" s="11" t="s">
        <v>116</v>
      </c>
      <c r="C13" s="9">
        <v>831686.6</v>
      </c>
      <c r="D13" s="9">
        <v>8010952.0999999996</v>
      </c>
      <c r="E13" s="32">
        <v>14960367.9</v>
      </c>
      <c r="F13" s="33">
        <f>0/100</f>
        <v>0</v>
      </c>
      <c r="G13" s="6"/>
      <c r="H13" s="6"/>
      <c r="N13" s="6"/>
      <c r="O13" s="6"/>
      <c r="P13" s="6"/>
    </row>
    <row r="14" spans="2:22" ht="19.5" x14ac:dyDescent="0.45">
      <c r="B14" s="11" t="s">
        <v>117</v>
      </c>
      <c r="C14" s="9">
        <v>827043</v>
      </c>
      <c r="D14" s="9">
        <v>7940140.5999999996</v>
      </c>
      <c r="E14" s="32">
        <v>15131051.199999999</v>
      </c>
      <c r="F14" s="33">
        <f>0.6/100</f>
        <v>6.0000000000000001E-3</v>
      </c>
      <c r="G14" s="6"/>
      <c r="H14" s="6"/>
      <c r="N14" s="6"/>
      <c r="O14" s="6"/>
      <c r="P14" s="6"/>
    </row>
    <row r="15" spans="2:22" ht="19.5" x14ac:dyDescent="0.45">
      <c r="B15" s="11" t="s">
        <v>118</v>
      </c>
      <c r="C15" s="9">
        <v>842252.6</v>
      </c>
      <c r="D15" s="9">
        <v>7876382</v>
      </c>
      <c r="E15" s="32">
        <v>15155060</v>
      </c>
      <c r="F15" s="33">
        <f>0/100</f>
        <v>0</v>
      </c>
      <c r="G15" s="6"/>
      <c r="H15" s="6"/>
      <c r="N15" s="6"/>
      <c r="O15" s="6"/>
      <c r="P15" s="6"/>
    </row>
    <row r="16" spans="2:22" ht="19.5" x14ac:dyDescent="0.45">
      <c r="B16" s="11" t="s">
        <v>119</v>
      </c>
      <c r="C16" s="9">
        <v>871472.5</v>
      </c>
      <c r="D16" s="9">
        <v>7979123.7000000002</v>
      </c>
      <c r="E16" s="32">
        <v>15281727.300000001</v>
      </c>
      <c r="F16" s="33">
        <f>1.1/100</f>
        <v>1.1000000000000001E-2</v>
      </c>
      <c r="G16" s="6"/>
      <c r="H16" s="6"/>
      <c r="N16" s="6"/>
      <c r="O16" s="6"/>
      <c r="P16" s="6"/>
    </row>
    <row r="17" spans="2:22" ht="19.5" x14ac:dyDescent="0.45">
      <c r="B17" s="11" t="s">
        <v>116</v>
      </c>
      <c r="C17" s="9">
        <v>813692.8</v>
      </c>
      <c r="D17" s="9">
        <v>7807342.0999999996</v>
      </c>
      <c r="E17" s="32">
        <v>15253152.9</v>
      </c>
      <c r="F17" s="33">
        <f>-1.1/100</f>
        <v>-1.1000000000000001E-2</v>
      </c>
      <c r="G17" s="6"/>
      <c r="H17" s="6"/>
      <c r="N17" s="6"/>
      <c r="O17" s="6"/>
      <c r="P17" s="6"/>
    </row>
    <row r="18" spans="2:22" ht="19.5" x14ac:dyDescent="0.45">
      <c r="B18" s="11" t="s">
        <v>117</v>
      </c>
      <c r="C18" s="9">
        <v>854504.32127078995</v>
      </c>
      <c r="D18" s="9">
        <v>7833621.0345569896</v>
      </c>
      <c r="E18" s="32">
        <v>15316101.403228</v>
      </c>
      <c r="F18" s="33">
        <f>0.6/100</f>
        <v>6.0000000000000001E-3</v>
      </c>
      <c r="G18" s="28"/>
      <c r="H18" s="6"/>
      <c r="N18" s="6"/>
      <c r="O18" s="6"/>
      <c r="P18" s="6"/>
    </row>
    <row r="19" spans="2:22" ht="19.5" x14ac:dyDescent="0.45">
      <c r="B19" s="11" t="s">
        <v>118</v>
      </c>
      <c r="C19" s="9">
        <v>836772.66554879898</v>
      </c>
      <c r="D19" s="9">
        <v>7849205.9839733597</v>
      </c>
      <c r="E19" s="32">
        <v>15394411.489658</v>
      </c>
      <c r="F19" s="33">
        <f>0.3/100</f>
        <v>3.0000000000000001E-3</v>
      </c>
      <c r="G19" s="6"/>
      <c r="H19" s="6"/>
      <c r="N19" s="6"/>
      <c r="O19" s="6"/>
      <c r="P19" s="6"/>
    </row>
    <row r="20" spans="2:22" ht="19.5" x14ac:dyDescent="0.45">
      <c r="B20" s="11" t="s">
        <v>119</v>
      </c>
      <c r="C20" s="9">
        <v>859287.64396297699</v>
      </c>
      <c r="D20" s="9">
        <v>7780913.07920474</v>
      </c>
      <c r="E20" s="32">
        <v>15435842.6920738</v>
      </c>
      <c r="F20" s="33">
        <f>-0.1/100</f>
        <v>-1E-3</v>
      </c>
      <c r="G20" s="6"/>
      <c r="H20" s="6"/>
      <c r="N20" s="6"/>
      <c r="O20" s="6"/>
      <c r="P20" s="6"/>
    </row>
    <row r="21" spans="2:22" ht="19.5" x14ac:dyDescent="0.45">
      <c r="B21" s="11" t="s">
        <v>116</v>
      </c>
      <c r="C21" s="9">
        <v>871755.01865864801</v>
      </c>
      <c r="D21" s="9">
        <v>7829888.1741864402</v>
      </c>
      <c r="E21" s="32">
        <v>15548365.821992701</v>
      </c>
      <c r="F21" s="33">
        <f>0.7/100</f>
        <v>6.9999999999999993E-3</v>
      </c>
      <c r="G21" s="6"/>
      <c r="H21" s="6"/>
      <c r="I21" s="6"/>
      <c r="J21" s="6"/>
      <c r="K21" s="6"/>
      <c r="L21" s="6"/>
      <c r="M21" s="6"/>
      <c r="N21" s="6"/>
      <c r="O21" s="6"/>
      <c r="P21" s="6"/>
      <c r="Q21" s="6"/>
      <c r="R21" s="6"/>
      <c r="S21" s="6"/>
      <c r="T21" s="6"/>
      <c r="U21" s="6"/>
      <c r="V21" s="6"/>
    </row>
    <row r="22" spans="2:22" ht="19.5" x14ac:dyDescent="0.45">
      <c r="B22" s="11" t="s">
        <v>110</v>
      </c>
      <c r="C22" s="9">
        <v>856921.08701225801</v>
      </c>
      <c r="D22" s="9">
        <v>7750175.3189236997</v>
      </c>
      <c r="E22" s="32">
        <v>15490105.200177399</v>
      </c>
      <c r="F22" s="33">
        <f>-0.6/100</f>
        <v>-6.0000000000000001E-3</v>
      </c>
      <c r="G22" s="6"/>
      <c r="H22" s="6"/>
      <c r="I22" s="6"/>
      <c r="J22" s="6"/>
      <c r="K22" s="6"/>
      <c r="L22" s="6"/>
      <c r="M22" s="6"/>
      <c r="N22" s="6"/>
      <c r="O22" s="6"/>
      <c r="P22" s="6"/>
      <c r="Q22" s="6"/>
      <c r="R22" s="6"/>
      <c r="S22" s="6"/>
      <c r="T22" s="6"/>
      <c r="U22" s="6"/>
      <c r="V22" s="6"/>
    </row>
    <row r="23" spans="2:22" ht="19.5" x14ac:dyDescent="0.45">
      <c r="B23" s="6"/>
      <c r="C23" s="6"/>
      <c r="D23" s="6"/>
      <c r="E23" s="6"/>
      <c r="F23" s="6"/>
      <c r="G23" s="6"/>
      <c r="H23" s="6"/>
      <c r="I23" s="6"/>
      <c r="J23" s="6"/>
      <c r="K23" s="6"/>
      <c r="L23" s="6"/>
      <c r="M23" s="6"/>
      <c r="N23" s="6"/>
      <c r="O23" s="6"/>
      <c r="P23" s="6"/>
      <c r="Q23" s="6"/>
      <c r="R23" s="6"/>
      <c r="S23" s="6"/>
      <c r="T23" s="6"/>
      <c r="U23" s="6"/>
      <c r="V23" s="6"/>
    </row>
    <row r="24" spans="2:22" ht="19.5" x14ac:dyDescent="0.45">
      <c r="B24" s="25" t="s">
        <v>94</v>
      </c>
      <c r="C24" s="6"/>
      <c r="D24" s="6"/>
      <c r="E24" s="6"/>
      <c r="F24" s="6"/>
      <c r="G24" s="6"/>
      <c r="H24" s="6"/>
      <c r="I24" s="6"/>
      <c r="J24" s="6"/>
      <c r="K24" s="6"/>
      <c r="L24" s="6"/>
      <c r="M24" s="6"/>
      <c r="N24" s="6"/>
      <c r="O24" s="6"/>
      <c r="P24" s="6"/>
      <c r="Q24" s="6"/>
      <c r="R24" s="6"/>
      <c r="S24" s="6"/>
      <c r="T24" s="6"/>
      <c r="U24" s="6"/>
      <c r="V24" s="6"/>
    </row>
    <row r="25" spans="2:22" ht="19.5" x14ac:dyDescent="0.45">
      <c r="B25" s="25" t="s">
        <v>95</v>
      </c>
      <c r="C25" s="6"/>
      <c r="D25" s="6"/>
      <c r="E25" s="6"/>
      <c r="F25" s="6"/>
      <c r="G25" s="6"/>
      <c r="H25" s="6"/>
      <c r="I25" s="6"/>
      <c r="J25" s="6"/>
      <c r="K25" s="6"/>
      <c r="L25" s="6"/>
      <c r="M25" s="6"/>
      <c r="N25" s="6"/>
      <c r="O25" s="6"/>
      <c r="P25" s="6"/>
      <c r="Q25" s="6"/>
      <c r="R25" s="6"/>
      <c r="S25" s="6"/>
      <c r="T25" s="6"/>
      <c r="U25" s="6"/>
      <c r="V25" s="6"/>
    </row>
  </sheetData>
  <mergeCells count="6">
    <mergeCell ref="C7:O7"/>
    <mergeCell ref="C2:O2"/>
    <mergeCell ref="C3:O3"/>
    <mergeCell ref="C4:O4"/>
    <mergeCell ref="C5:P5"/>
    <mergeCell ref="C6:P6"/>
  </mergeCells>
  <pageMargins left="0.7" right="0.7" top="0.75" bottom="0.75" header="0.3" footer="0.3"/>
  <pageSetup orientation="portrait" r:id="rId1"/>
  <ignoredErrors>
    <ignoredError sqref="F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32"/>
  <sheetViews>
    <sheetView topLeftCell="A19" workbookViewId="0">
      <selection activeCell="A37" sqref="A37:XFD48"/>
    </sheetView>
  </sheetViews>
  <sheetFormatPr baseColWidth="10" defaultRowHeight="15" x14ac:dyDescent="0.25"/>
  <cols>
    <col min="1" max="1" width="5.7109375" customWidth="1"/>
    <col min="2" max="2" width="15.7109375" customWidth="1"/>
    <col min="3" max="3" width="14.42578125" style="5" bestFit="1" customWidth="1"/>
    <col min="4" max="5" width="14" customWidth="1"/>
    <col min="6" max="6" width="5.7109375" customWidth="1"/>
    <col min="7" max="24" width="12.28515625" bestFit="1" customWidth="1"/>
  </cols>
  <sheetData>
    <row r="2" spans="2:24" ht="20.100000000000001" customHeight="1" x14ac:dyDescent="0.4">
      <c r="B2" s="18" t="s">
        <v>25</v>
      </c>
      <c r="C2" s="41" t="s">
        <v>58</v>
      </c>
      <c r="D2" s="42"/>
      <c r="E2" s="42"/>
      <c r="F2" s="42"/>
      <c r="G2" s="42"/>
      <c r="H2" s="42"/>
      <c r="I2" s="42"/>
      <c r="J2" s="42"/>
      <c r="K2" s="42"/>
      <c r="L2" s="42"/>
      <c r="M2" s="42"/>
      <c r="N2" s="42"/>
      <c r="O2" s="42"/>
      <c r="P2" s="42"/>
      <c r="Q2" s="42"/>
    </row>
    <row r="3" spans="2:24" ht="39.950000000000003" customHeight="1" x14ac:dyDescent="0.25">
      <c r="B3" s="18" t="s">
        <v>26</v>
      </c>
      <c r="C3" s="45" t="s">
        <v>56</v>
      </c>
      <c r="D3" s="46"/>
      <c r="E3" s="46"/>
      <c r="F3" s="46"/>
      <c r="G3" s="46"/>
      <c r="H3" s="46"/>
      <c r="I3" s="46"/>
      <c r="J3" s="46"/>
      <c r="K3" s="46"/>
      <c r="L3" s="46"/>
      <c r="M3" s="46"/>
      <c r="N3" s="46"/>
      <c r="O3" s="46"/>
      <c r="P3" s="46"/>
      <c r="Q3" s="47"/>
    </row>
    <row r="4" spans="2:24" ht="20.100000000000001" customHeight="1" x14ac:dyDescent="0.4">
      <c r="B4" s="18" t="s">
        <v>28</v>
      </c>
      <c r="C4" s="41" t="s">
        <v>38</v>
      </c>
      <c r="D4" s="42"/>
      <c r="E4" s="42"/>
      <c r="F4" s="42"/>
      <c r="G4" s="42"/>
      <c r="H4" s="42"/>
      <c r="I4" s="42"/>
      <c r="J4" s="42"/>
      <c r="K4" s="42"/>
      <c r="L4" s="42"/>
      <c r="M4" s="42"/>
      <c r="N4" s="42"/>
      <c r="O4" s="42"/>
      <c r="P4" s="42"/>
      <c r="Q4" s="42"/>
    </row>
    <row r="5" spans="2:24" ht="20.100000000000001" customHeight="1" x14ac:dyDescent="0.4">
      <c r="B5" s="18" t="s">
        <v>30</v>
      </c>
      <c r="C5" s="41" t="s">
        <v>57</v>
      </c>
      <c r="D5" s="42"/>
      <c r="E5" s="42"/>
      <c r="F5" s="42"/>
      <c r="G5" s="42"/>
      <c r="H5" s="42"/>
      <c r="I5" s="42"/>
      <c r="J5" s="42"/>
      <c r="K5" s="42"/>
      <c r="L5" s="42"/>
      <c r="M5" s="42"/>
      <c r="N5" s="42"/>
      <c r="O5" s="42"/>
      <c r="P5" s="42"/>
      <c r="Q5" s="42"/>
    </row>
    <row r="6" spans="2:24" ht="20.100000000000001" customHeight="1" x14ac:dyDescent="0.4">
      <c r="B6" s="18" t="s">
        <v>27</v>
      </c>
      <c r="C6" s="51" t="s">
        <v>75</v>
      </c>
      <c r="D6" s="52"/>
      <c r="E6" s="52"/>
      <c r="F6" s="52"/>
      <c r="G6" s="52"/>
      <c r="H6" s="52"/>
      <c r="I6" s="52"/>
      <c r="J6" s="52"/>
      <c r="K6" s="52"/>
      <c r="L6" s="52"/>
      <c r="M6" s="52"/>
      <c r="N6" s="52"/>
      <c r="O6" s="52"/>
      <c r="P6" s="52"/>
      <c r="Q6" s="52"/>
    </row>
    <row r="7" spans="2:24" ht="39.950000000000003" customHeight="1" x14ac:dyDescent="0.4">
      <c r="B7" s="19" t="s">
        <v>35</v>
      </c>
      <c r="C7" s="48" t="s">
        <v>36</v>
      </c>
      <c r="D7" s="49"/>
      <c r="E7" s="49"/>
      <c r="F7" s="49"/>
      <c r="G7" s="49"/>
      <c r="H7" s="49"/>
      <c r="I7" s="49"/>
      <c r="J7" s="49"/>
      <c r="K7" s="49"/>
      <c r="L7" s="49"/>
      <c r="M7" s="49"/>
      <c r="N7" s="49"/>
      <c r="O7" s="49"/>
      <c r="P7" s="49"/>
      <c r="Q7" s="49"/>
    </row>
    <row r="8" spans="2:24" ht="20.100000000000001" customHeight="1" x14ac:dyDescent="0.45">
      <c r="B8" s="6"/>
      <c r="C8" s="7"/>
      <c r="D8" s="6"/>
      <c r="E8" s="6"/>
      <c r="F8" s="6"/>
      <c r="G8" s="6"/>
      <c r="H8" s="6"/>
      <c r="I8" s="6"/>
      <c r="J8" s="6"/>
      <c r="K8" s="6"/>
      <c r="L8" s="6"/>
      <c r="M8" s="6"/>
      <c r="N8" s="6"/>
      <c r="O8" s="6"/>
      <c r="P8" s="6"/>
      <c r="Q8" s="6"/>
      <c r="R8" s="6"/>
      <c r="S8" s="6"/>
      <c r="T8" s="6"/>
      <c r="U8" s="6"/>
      <c r="V8" s="6"/>
      <c r="W8" s="6"/>
      <c r="X8" s="6"/>
    </row>
    <row r="9" spans="2:24" ht="51.75" x14ac:dyDescent="0.45">
      <c r="B9" s="10" t="s">
        <v>34</v>
      </c>
      <c r="C9" s="29" t="s">
        <v>69</v>
      </c>
      <c r="D9" s="16" t="s">
        <v>152</v>
      </c>
      <c r="E9" s="16" t="s">
        <v>140</v>
      </c>
      <c r="F9" s="6"/>
      <c r="G9" s="6"/>
      <c r="H9" s="6"/>
      <c r="I9" s="6"/>
      <c r="J9" s="6"/>
      <c r="K9" s="6"/>
      <c r="L9" s="6"/>
      <c r="M9" s="6"/>
      <c r="N9" s="6"/>
      <c r="O9" s="6"/>
      <c r="P9" s="6"/>
      <c r="Q9" s="6"/>
      <c r="R9" s="6"/>
      <c r="S9" s="6"/>
      <c r="T9" s="6"/>
      <c r="U9" s="6"/>
      <c r="V9" s="6"/>
      <c r="W9" s="6"/>
      <c r="X9" s="6"/>
    </row>
    <row r="10" spans="2:24" ht="19.5" x14ac:dyDescent="0.45">
      <c r="B10" s="17" t="s">
        <v>42</v>
      </c>
      <c r="C10" s="30">
        <v>104.977621139718</v>
      </c>
      <c r="D10" s="30">
        <v>104.4</v>
      </c>
      <c r="E10" s="30">
        <v>106.8</v>
      </c>
      <c r="F10" s="6"/>
      <c r="G10" s="6"/>
      <c r="H10" s="6"/>
      <c r="I10" s="6"/>
      <c r="J10" s="6"/>
      <c r="K10" s="6"/>
      <c r="L10" s="6"/>
      <c r="M10" s="6"/>
      <c r="N10" s="6"/>
      <c r="O10" s="6"/>
      <c r="P10" s="6"/>
      <c r="Q10" s="6"/>
      <c r="R10" s="6"/>
      <c r="S10" s="6"/>
      <c r="T10" s="6"/>
      <c r="U10" s="6"/>
      <c r="V10" s="6"/>
      <c r="W10" s="6"/>
      <c r="X10" s="6"/>
    </row>
    <row r="11" spans="2:24" ht="19.5" x14ac:dyDescent="0.45">
      <c r="B11" s="17" t="s">
        <v>43</v>
      </c>
      <c r="C11" s="30">
        <v>105.036749181744</v>
      </c>
      <c r="D11" s="30">
        <v>100.87</v>
      </c>
      <c r="E11" s="30">
        <v>107</v>
      </c>
      <c r="F11" s="6"/>
      <c r="G11" s="6"/>
      <c r="H11" s="6"/>
      <c r="I11" s="6"/>
      <c r="J11" s="6"/>
      <c r="K11" s="6"/>
      <c r="L11" s="6"/>
      <c r="M11" s="6"/>
      <c r="N11" s="6"/>
      <c r="O11" s="6"/>
      <c r="P11" s="6"/>
      <c r="Q11" s="6"/>
      <c r="R11" s="6"/>
      <c r="S11" s="6"/>
      <c r="T11" s="6"/>
      <c r="U11" s="6"/>
      <c r="V11" s="6"/>
      <c r="W11" s="6"/>
      <c r="X11" s="6"/>
    </row>
    <row r="12" spans="2:24" ht="19.5" x14ac:dyDescent="0.45">
      <c r="B12" s="17" t="s">
        <v>44</v>
      </c>
      <c r="C12" s="30">
        <v>104.454057193007</v>
      </c>
      <c r="D12" s="30">
        <v>101.58</v>
      </c>
      <c r="E12" s="30">
        <v>106.9</v>
      </c>
      <c r="F12" s="6"/>
      <c r="G12" s="6"/>
      <c r="H12" s="6"/>
      <c r="I12" s="6"/>
      <c r="J12" s="6"/>
      <c r="K12" s="6"/>
      <c r="L12" s="6"/>
      <c r="M12" s="6"/>
      <c r="N12" s="6"/>
      <c r="O12" s="6"/>
      <c r="P12" s="6"/>
      <c r="Q12" s="6"/>
      <c r="R12" s="6"/>
      <c r="S12" s="6"/>
      <c r="T12" s="6"/>
      <c r="U12" s="6"/>
      <c r="V12" s="6"/>
      <c r="W12" s="6"/>
      <c r="X12" s="6"/>
    </row>
    <row r="13" spans="2:24" ht="19.5" x14ac:dyDescent="0.45">
      <c r="B13" s="17" t="s">
        <v>45</v>
      </c>
      <c r="C13" s="30">
        <v>104.96472936225901</v>
      </c>
      <c r="D13" s="30">
        <v>101.39</v>
      </c>
      <c r="E13" s="30">
        <v>107.4</v>
      </c>
      <c r="F13" s="6"/>
      <c r="G13" s="6"/>
      <c r="H13" s="6"/>
      <c r="I13" s="6"/>
      <c r="J13" s="6"/>
      <c r="K13" s="6"/>
      <c r="L13" s="6"/>
      <c r="M13" s="6"/>
      <c r="N13" s="6"/>
      <c r="O13" s="6"/>
      <c r="P13" s="6"/>
      <c r="Q13" s="6"/>
      <c r="R13" s="6"/>
      <c r="S13" s="6"/>
      <c r="T13" s="6"/>
      <c r="U13" s="6"/>
      <c r="V13" s="6"/>
      <c r="W13" s="6"/>
      <c r="X13" s="6"/>
    </row>
    <row r="14" spans="2:24" ht="19.5" x14ac:dyDescent="0.45">
      <c r="B14" s="17" t="s">
        <v>46</v>
      </c>
      <c r="C14" s="30">
        <v>104.52708789217</v>
      </c>
      <c r="D14" s="30">
        <v>99.56</v>
      </c>
      <c r="E14" s="30">
        <v>107</v>
      </c>
      <c r="F14" s="6"/>
      <c r="G14" s="6"/>
      <c r="H14" s="6"/>
      <c r="I14" s="6"/>
      <c r="J14" s="6"/>
      <c r="K14" s="6"/>
      <c r="L14" s="6"/>
      <c r="M14" s="6"/>
      <c r="N14" s="6"/>
      <c r="O14" s="6"/>
      <c r="P14" s="6"/>
      <c r="Q14" s="6"/>
      <c r="R14" s="6"/>
      <c r="S14" s="6"/>
      <c r="T14" s="6"/>
      <c r="U14" s="6"/>
      <c r="V14" s="6"/>
      <c r="W14" s="6"/>
      <c r="X14" s="6"/>
    </row>
    <row r="15" spans="2:24" ht="19.5" x14ac:dyDescent="0.45">
      <c r="B15" s="17" t="s">
        <v>47</v>
      </c>
      <c r="C15" s="30">
        <v>105.575132119142</v>
      </c>
      <c r="D15" s="30">
        <v>104.81</v>
      </c>
      <c r="E15" s="30">
        <v>108.2</v>
      </c>
      <c r="F15" s="6"/>
      <c r="G15" s="6"/>
      <c r="H15" s="6"/>
      <c r="I15" s="6"/>
      <c r="J15" s="6"/>
      <c r="K15" s="6"/>
      <c r="L15" s="6"/>
      <c r="M15" s="6"/>
      <c r="N15" s="6"/>
      <c r="O15" s="6"/>
      <c r="P15" s="6"/>
      <c r="Q15" s="6"/>
      <c r="R15" s="6"/>
      <c r="S15" s="6"/>
      <c r="T15" s="6"/>
      <c r="U15" s="6"/>
      <c r="V15" s="6"/>
      <c r="W15" s="6"/>
      <c r="X15" s="6"/>
    </row>
    <row r="16" spans="2:24" ht="19.5" x14ac:dyDescent="0.45">
      <c r="B16" s="17" t="s">
        <v>48</v>
      </c>
      <c r="C16" s="30">
        <v>105.476142839221</v>
      </c>
      <c r="D16" s="30">
        <v>101.45</v>
      </c>
      <c r="E16" s="30">
        <v>107.8</v>
      </c>
      <c r="F16" s="6"/>
      <c r="G16" s="6"/>
      <c r="H16" s="6"/>
      <c r="I16" s="6"/>
      <c r="J16" s="6"/>
      <c r="K16" s="6"/>
      <c r="L16" s="6"/>
      <c r="M16" s="6"/>
      <c r="N16" s="6"/>
      <c r="O16" s="6"/>
      <c r="P16" s="6"/>
      <c r="Q16" s="6"/>
      <c r="R16" s="6"/>
      <c r="S16" s="6"/>
      <c r="T16" s="6"/>
      <c r="U16" s="6"/>
      <c r="V16" s="6"/>
      <c r="W16" s="6"/>
      <c r="X16" s="6"/>
    </row>
    <row r="17" spans="2:24" ht="19.5" x14ac:dyDescent="0.45">
      <c r="B17" s="17" t="s">
        <v>49</v>
      </c>
      <c r="C17" s="30">
        <v>105.86908901784901</v>
      </c>
      <c r="D17" s="30">
        <v>98.38</v>
      </c>
      <c r="E17" s="30">
        <v>108</v>
      </c>
      <c r="F17" s="6"/>
      <c r="G17" s="6"/>
      <c r="H17" s="6"/>
      <c r="I17" s="6"/>
      <c r="J17" s="6"/>
      <c r="K17" s="6"/>
      <c r="L17" s="6"/>
      <c r="M17" s="6"/>
      <c r="N17" s="6"/>
      <c r="O17" s="6"/>
      <c r="P17" s="6"/>
      <c r="Q17" s="6"/>
      <c r="R17" s="6"/>
      <c r="S17" s="6"/>
      <c r="T17" s="6"/>
      <c r="U17" s="6"/>
      <c r="V17" s="6"/>
      <c r="W17" s="6"/>
      <c r="X17" s="6"/>
    </row>
    <row r="18" spans="2:24" ht="19.5" x14ac:dyDescent="0.45">
      <c r="B18" s="17" t="s">
        <v>41</v>
      </c>
      <c r="C18" s="30">
        <v>104.772484415695</v>
      </c>
      <c r="D18" s="30">
        <v>96.62</v>
      </c>
      <c r="E18" s="30">
        <v>107.4</v>
      </c>
      <c r="F18" s="6"/>
      <c r="G18" s="6"/>
      <c r="H18" s="6"/>
      <c r="I18" s="6"/>
      <c r="J18" s="6"/>
      <c r="K18" s="6"/>
      <c r="L18" s="6"/>
      <c r="M18" s="6"/>
      <c r="N18" s="6"/>
      <c r="O18" s="6"/>
      <c r="P18" s="6"/>
      <c r="Q18" s="6"/>
      <c r="R18" s="6"/>
      <c r="S18" s="6"/>
      <c r="T18" s="6"/>
      <c r="U18" s="6"/>
      <c r="V18" s="6"/>
      <c r="W18" s="6"/>
      <c r="X18" s="6"/>
    </row>
    <row r="19" spans="2:24" ht="19.5" x14ac:dyDescent="0.45">
      <c r="B19" s="17" t="s">
        <v>40</v>
      </c>
      <c r="C19" s="30">
        <v>105.07262020187601</v>
      </c>
      <c r="D19" s="30">
        <v>95.8</v>
      </c>
      <c r="E19" s="30">
        <v>107.5</v>
      </c>
      <c r="F19" s="6"/>
      <c r="G19" s="6"/>
      <c r="H19" s="6"/>
      <c r="I19" s="6"/>
      <c r="J19" s="6"/>
      <c r="K19" s="6"/>
      <c r="L19" s="6"/>
      <c r="M19" s="6"/>
      <c r="N19" s="6"/>
      <c r="O19" s="6"/>
      <c r="P19" s="6"/>
      <c r="Q19" s="6"/>
      <c r="R19" s="6"/>
      <c r="S19" s="6"/>
      <c r="T19" s="6"/>
      <c r="U19" s="6"/>
      <c r="V19" s="6"/>
      <c r="W19" s="6"/>
      <c r="X19" s="6"/>
    </row>
    <row r="20" spans="2:24" ht="19.5" x14ac:dyDescent="0.45">
      <c r="B20" s="17" t="s">
        <v>39</v>
      </c>
      <c r="C20" s="30">
        <v>105.660228515201</v>
      </c>
      <c r="D20" s="30">
        <v>102.75</v>
      </c>
      <c r="E20" s="30">
        <v>108.5</v>
      </c>
      <c r="F20" s="6"/>
      <c r="G20" s="6"/>
      <c r="H20" s="6"/>
      <c r="I20" s="6"/>
      <c r="J20" s="6"/>
      <c r="K20" s="6"/>
      <c r="L20" s="6"/>
      <c r="M20" s="6"/>
      <c r="N20" s="6"/>
      <c r="O20" s="6"/>
      <c r="P20" s="6"/>
      <c r="Q20" s="6"/>
      <c r="R20" s="6"/>
      <c r="S20" s="6"/>
      <c r="T20" s="6"/>
      <c r="U20" s="6"/>
      <c r="V20" s="6"/>
      <c r="W20" s="6"/>
      <c r="X20" s="6"/>
    </row>
    <row r="21" spans="2:24" ht="19.5" x14ac:dyDescent="0.45">
      <c r="B21" s="17" t="s">
        <v>139</v>
      </c>
      <c r="C21" s="30">
        <v>106.927124418255</v>
      </c>
      <c r="D21" s="30">
        <v>102.52</v>
      </c>
      <c r="E21" s="30">
        <v>109.2</v>
      </c>
      <c r="F21" s="6"/>
      <c r="G21" s="6"/>
      <c r="H21" s="6"/>
      <c r="I21" s="6"/>
      <c r="J21" s="6"/>
      <c r="K21" s="6"/>
      <c r="L21" s="6"/>
      <c r="M21" s="6"/>
      <c r="N21" s="6"/>
      <c r="O21" s="6"/>
      <c r="P21" s="6"/>
      <c r="Q21" s="6"/>
      <c r="R21" s="6"/>
      <c r="S21" s="6"/>
      <c r="T21" s="6"/>
      <c r="U21" s="6"/>
      <c r="V21" s="6"/>
      <c r="W21" s="6"/>
      <c r="X21" s="6"/>
    </row>
    <row r="22" spans="2:24" ht="19.5" x14ac:dyDescent="0.45">
      <c r="F22" s="6"/>
      <c r="G22" s="6"/>
      <c r="H22" s="6"/>
      <c r="I22" s="6"/>
      <c r="J22" s="6"/>
      <c r="K22" s="6"/>
      <c r="L22" s="6"/>
      <c r="M22" s="6"/>
      <c r="N22" s="6"/>
      <c r="O22" s="6"/>
      <c r="P22" s="6"/>
      <c r="Q22" s="6"/>
      <c r="R22" s="6"/>
      <c r="S22" s="6"/>
      <c r="T22" s="6"/>
      <c r="U22" s="6"/>
      <c r="V22" s="6"/>
      <c r="W22" s="6"/>
      <c r="X22" s="6"/>
    </row>
    <row r="23" spans="2:24" ht="19.5" x14ac:dyDescent="0.45">
      <c r="B23" s="25" t="s">
        <v>96</v>
      </c>
      <c r="D23" s="6"/>
      <c r="E23" s="6"/>
      <c r="F23" s="6"/>
      <c r="G23" s="6"/>
      <c r="H23" s="6"/>
      <c r="I23" s="6"/>
      <c r="J23" s="6"/>
      <c r="K23" s="6"/>
      <c r="L23" s="6"/>
      <c r="M23" s="6"/>
      <c r="N23" s="6"/>
      <c r="O23" s="6"/>
      <c r="P23" s="6"/>
      <c r="Q23" s="6"/>
      <c r="R23" s="6"/>
      <c r="S23" s="6"/>
      <c r="T23" s="6"/>
      <c r="U23" s="6"/>
      <c r="V23" s="6"/>
      <c r="W23" s="6"/>
      <c r="X23" s="6"/>
    </row>
    <row r="24" spans="2:24" ht="19.5" x14ac:dyDescent="0.45">
      <c r="B24" s="25" t="s">
        <v>97</v>
      </c>
      <c r="F24" s="6"/>
      <c r="G24" s="6"/>
      <c r="H24" s="6"/>
      <c r="I24" s="6"/>
      <c r="J24" s="6"/>
      <c r="K24" s="6"/>
      <c r="L24" s="6"/>
      <c r="M24" s="6"/>
      <c r="N24" s="6"/>
      <c r="O24" s="6"/>
      <c r="P24" s="6"/>
      <c r="Q24" s="6"/>
      <c r="R24" s="6"/>
      <c r="S24" s="6"/>
      <c r="T24" s="6"/>
      <c r="U24" s="6"/>
      <c r="V24" s="6"/>
      <c r="W24" s="6"/>
      <c r="X24" s="6"/>
    </row>
    <row r="25" spans="2:24" ht="19.5" x14ac:dyDescent="0.45">
      <c r="D25" s="6"/>
      <c r="E25" s="6"/>
      <c r="F25" s="6"/>
      <c r="G25" s="6"/>
      <c r="H25" s="6"/>
      <c r="I25" s="6"/>
      <c r="J25" s="6"/>
      <c r="K25" s="6"/>
      <c r="L25" s="6"/>
      <c r="M25" s="6"/>
      <c r="N25" s="6"/>
      <c r="O25" s="6"/>
      <c r="P25" s="6"/>
      <c r="Q25" s="6"/>
      <c r="R25" s="6"/>
      <c r="S25" s="6"/>
      <c r="T25" s="6"/>
      <c r="U25" s="6"/>
      <c r="V25" s="6"/>
      <c r="W25" s="6"/>
      <c r="X25" s="6"/>
    </row>
    <row r="32" spans="2:24" ht="67.5" customHeight="1" x14ac:dyDescent="0.4">
      <c r="B32" s="50" t="s">
        <v>70</v>
      </c>
      <c r="C32" s="50"/>
      <c r="D32" s="50"/>
      <c r="E32" s="50"/>
      <c r="F32" s="50"/>
      <c r="G32" s="50"/>
      <c r="H32" s="50"/>
      <c r="I32" s="50"/>
      <c r="J32" s="50"/>
      <c r="K32" s="50"/>
      <c r="L32" s="50"/>
      <c r="M32" s="50"/>
      <c r="N32" s="50"/>
      <c r="O32" s="50"/>
      <c r="P32" s="50"/>
      <c r="Q32" s="50"/>
    </row>
  </sheetData>
  <mergeCells count="7">
    <mergeCell ref="C7:Q7"/>
    <mergeCell ref="B32:Q32"/>
    <mergeCell ref="C2:Q2"/>
    <mergeCell ref="C3:Q3"/>
    <mergeCell ref="C4:Q4"/>
    <mergeCell ref="C5:Q5"/>
    <mergeCell ref="C6:Q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31"/>
  <sheetViews>
    <sheetView workbookViewId="0">
      <selection activeCell="D25" sqref="D25"/>
    </sheetView>
  </sheetViews>
  <sheetFormatPr baseColWidth="10" defaultRowHeight="15" x14ac:dyDescent="0.25"/>
  <cols>
    <col min="1" max="1" width="5.7109375" customWidth="1"/>
    <col min="2" max="2" width="15.7109375" customWidth="1"/>
    <col min="3" max="3" width="14.42578125" style="5" bestFit="1" customWidth="1"/>
    <col min="4" max="4" width="13.140625" customWidth="1"/>
    <col min="5" max="5" width="5.7109375" customWidth="1"/>
    <col min="6" max="23" width="12.28515625" bestFit="1" customWidth="1"/>
  </cols>
  <sheetData>
    <row r="2" spans="2:23" ht="20.100000000000001" customHeight="1" x14ac:dyDescent="0.4">
      <c r="B2" s="18" t="s">
        <v>25</v>
      </c>
      <c r="C2" s="41" t="s">
        <v>133</v>
      </c>
      <c r="D2" s="42"/>
      <c r="E2" s="42"/>
      <c r="F2" s="42"/>
      <c r="G2" s="42"/>
      <c r="H2" s="42"/>
      <c r="I2" s="42"/>
      <c r="J2" s="42"/>
      <c r="K2" s="42"/>
      <c r="L2" s="42"/>
      <c r="M2" s="42"/>
      <c r="N2" s="42"/>
      <c r="O2" s="42"/>
      <c r="P2" s="42"/>
    </row>
    <row r="3" spans="2:23" ht="39.950000000000003" customHeight="1" x14ac:dyDescent="0.25">
      <c r="B3" s="18" t="s">
        <v>26</v>
      </c>
      <c r="C3" s="45" t="s">
        <v>134</v>
      </c>
      <c r="D3" s="46"/>
      <c r="E3" s="46"/>
      <c r="F3" s="46"/>
      <c r="G3" s="46"/>
      <c r="H3" s="46"/>
      <c r="I3" s="46"/>
      <c r="J3" s="46"/>
      <c r="K3" s="46"/>
      <c r="L3" s="46"/>
      <c r="M3" s="46"/>
      <c r="N3" s="46"/>
      <c r="O3" s="46"/>
      <c r="P3" s="47"/>
    </row>
    <row r="4" spans="2:23" ht="20.100000000000001" customHeight="1" x14ac:dyDescent="0.4">
      <c r="B4" s="18" t="s">
        <v>28</v>
      </c>
      <c r="C4" s="41" t="s">
        <v>38</v>
      </c>
      <c r="D4" s="42"/>
      <c r="E4" s="42"/>
      <c r="F4" s="42"/>
      <c r="G4" s="42"/>
      <c r="H4" s="42"/>
      <c r="I4" s="42"/>
      <c r="J4" s="42"/>
      <c r="K4" s="42"/>
      <c r="L4" s="42"/>
      <c r="M4" s="42"/>
      <c r="N4" s="42"/>
      <c r="O4" s="42"/>
      <c r="P4" s="42"/>
    </row>
    <row r="5" spans="2:23" ht="20.100000000000001" customHeight="1" x14ac:dyDescent="0.4">
      <c r="B5" s="18" t="s">
        <v>30</v>
      </c>
      <c r="C5" s="41"/>
      <c r="D5" s="42"/>
      <c r="E5" s="42"/>
      <c r="F5" s="42"/>
      <c r="G5" s="42"/>
      <c r="H5" s="42"/>
      <c r="I5" s="42"/>
      <c r="J5" s="42"/>
      <c r="K5" s="42"/>
      <c r="L5" s="42"/>
      <c r="M5" s="42"/>
      <c r="N5" s="42"/>
      <c r="O5" s="42"/>
      <c r="P5" s="42"/>
    </row>
    <row r="6" spans="2:23" ht="20.100000000000001" customHeight="1" x14ac:dyDescent="0.4">
      <c r="B6" s="18" t="s">
        <v>27</v>
      </c>
      <c r="C6" s="51"/>
      <c r="D6" s="52"/>
      <c r="E6" s="52"/>
      <c r="F6" s="52"/>
      <c r="G6" s="52"/>
      <c r="H6" s="52"/>
      <c r="I6" s="52"/>
      <c r="J6" s="52"/>
      <c r="K6" s="52"/>
      <c r="L6" s="52"/>
      <c r="M6" s="52"/>
      <c r="N6" s="52"/>
      <c r="O6" s="52"/>
      <c r="P6" s="52"/>
    </row>
    <row r="7" spans="2:23" ht="39.950000000000003" customHeight="1" x14ac:dyDescent="0.4">
      <c r="B7" s="19" t="s">
        <v>35</v>
      </c>
      <c r="C7" s="48" t="s">
        <v>132</v>
      </c>
      <c r="D7" s="49"/>
      <c r="E7" s="49"/>
      <c r="F7" s="49"/>
      <c r="G7" s="49"/>
      <c r="H7" s="49"/>
      <c r="I7" s="49"/>
      <c r="J7" s="49"/>
      <c r="K7" s="49"/>
      <c r="L7" s="49"/>
      <c r="M7" s="49"/>
      <c r="N7" s="49"/>
      <c r="O7" s="49"/>
      <c r="P7" s="49"/>
    </row>
    <row r="8" spans="2:23" ht="20.100000000000001" customHeight="1" x14ac:dyDescent="0.45">
      <c r="B8" s="6"/>
      <c r="C8" s="7"/>
      <c r="D8" s="6"/>
      <c r="E8" s="6"/>
      <c r="F8" s="6"/>
      <c r="G8" s="6"/>
      <c r="H8" s="6"/>
      <c r="I8" s="6"/>
      <c r="J8" s="6"/>
      <c r="K8" s="6"/>
      <c r="L8" s="6"/>
      <c r="M8" s="6"/>
      <c r="N8" s="6"/>
      <c r="O8" s="6"/>
      <c r="P8" s="6"/>
      <c r="Q8" s="6"/>
      <c r="R8" s="6"/>
      <c r="S8" s="6"/>
      <c r="T8" s="6"/>
      <c r="U8" s="6"/>
      <c r="V8" s="6"/>
      <c r="W8" s="6"/>
    </row>
    <row r="9" spans="2:23" ht="51.75" x14ac:dyDescent="0.45">
      <c r="B9" s="10" t="s">
        <v>34</v>
      </c>
      <c r="C9" s="10" t="s">
        <v>69</v>
      </c>
      <c r="D9" s="10" t="s">
        <v>59</v>
      </c>
      <c r="E9" s="6"/>
      <c r="F9" s="6"/>
      <c r="G9" s="6"/>
      <c r="H9" s="6"/>
      <c r="I9" s="6"/>
      <c r="J9" s="6"/>
      <c r="K9" s="6"/>
      <c r="L9" s="6"/>
      <c r="M9" s="6"/>
      <c r="N9" s="6"/>
      <c r="O9" s="6"/>
      <c r="P9" s="6"/>
      <c r="Q9" s="6"/>
      <c r="R9" s="6"/>
      <c r="S9" s="6"/>
      <c r="T9" s="6"/>
      <c r="U9" s="6"/>
      <c r="V9" s="6"/>
      <c r="W9" s="6"/>
    </row>
    <row r="10" spans="2:23" ht="19.5" x14ac:dyDescent="0.45">
      <c r="B10" s="17" t="s">
        <v>121</v>
      </c>
      <c r="C10" s="21">
        <v>101.6</v>
      </c>
      <c r="D10" s="31">
        <v>8.9999999999999998E-4</v>
      </c>
      <c r="E10" s="6"/>
      <c r="R10" s="6"/>
      <c r="S10" s="6"/>
      <c r="T10" s="6"/>
      <c r="U10" s="6"/>
      <c r="V10" s="6"/>
      <c r="W10" s="6"/>
    </row>
    <row r="11" spans="2:23" ht="19.5" x14ac:dyDescent="0.45">
      <c r="B11" s="17" t="s">
        <v>122</v>
      </c>
      <c r="C11" s="21">
        <v>101.2</v>
      </c>
      <c r="D11" s="31">
        <f>C11/C10-1</f>
        <v>-3.93700787401563E-3</v>
      </c>
      <c r="E11" s="6"/>
      <c r="F11" s="6"/>
      <c r="G11" s="6"/>
      <c r="H11" s="6"/>
      <c r="I11" s="6"/>
      <c r="J11" s="6"/>
      <c r="K11" s="6"/>
      <c r="L11" s="6"/>
      <c r="M11" s="6"/>
      <c r="N11" s="6"/>
      <c r="O11" s="6"/>
      <c r="P11" s="6"/>
      <c r="Q11" s="6"/>
      <c r="R11" s="6"/>
      <c r="S11" s="6"/>
      <c r="T11" s="6"/>
      <c r="U11" s="6"/>
      <c r="V11" s="6"/>
      <c r="W11" s="6"/>
    </row>
    <row r="12" spans="2:23" ht="19.5" x14ac:dyDescent="0.45">
      <c r="B12" s="17" t="s">
        <v>123</v>
      </c>
      <c r="C12" s="21">
        <v>100.2</v>
      </c>
      <c r="D12" s="31">
        <f t="shared" ref="D12:D21" si="0">C12/C11-1</f>
        <v>-9.8814229249012397E-3</v>
      </c>
      <c r="E12" s="6"/>
      <c r="F12" s="6"/>
      <c r="G12" s="6"/>
      <c r="H12" s="6"/>
      <c r="I12" s="6"/>
      <c r="J12" s="6"/>
      <c r="K12" s="6"/>
      <c r="L12" s="6"/>
      <c r="M12" s="6"/>
      <c r="N12" s="6"/>
      <c r="O12" s="6"/>
      <c r="P12" s="6"/>
      <c r="Q12" s="6"/>
      <c r="R12" s="6"/>
      <c r="S12" s="6"/>
      <c r="T12" s="6"/>
      <c r="U12" s="6"/>
      <c r="V12" s="6"/>
      <c r="W12" s="6"/>
    </row>
    <row r="13" spans="2:23" ht="19.5" x14ac:dyDescent="0.45">
      <c r="B13" s="17" t="s">
        <v>124</v>
      </c>
      <c r="C13" s="21">
        <v>100</v>
      </c>
      <c r="D13" s="31">
        <f t="shared" si="0"/>
        <v>-1.9960079840319889E-3</v>
      </c>
      <c r="E13" s="6"/>
      <c r="F13" s="6"/>
      <c r="G13" s="6"/>
      <c r="H13" s="6"/>
      <c r="I13" s="6"/>
      <c r="J13" s="6"/>
      <c r="K13" s="6"/>
      <c r="L13" s="6"/>
      <c r="M13" s="6"/>
      <c r="N13" s="6"/>
      <c r="O13" s="6"/>
      <c r="P13" s="6"/>
      <c r="Q13" s="6"/>
      <c r="R13" s="6"/>
      <c r="S13" s="6"/>
      <c r="T13" s="6"/>
      <c r="U13" s="6"/>
      <c r="V13" s="6"/>
      <c r="W13" s="6"/>
    </row>
    <row r="14" spans="2:23" ht="19.5" x14ac:dyDescent="0.45">
      <c r="B14" s="17" t="s">
        <v>125</v>
      </c>
      <c r="C14" s="21">
        <v>99.9</v>
      </c>
      <c r="D14" s="31">
        <f t="shared" si="0"/>
        <v>-9.9999999999988987E-4</v>
      </c>
      <c r="E14" s="6"/>
      <c r="F14" s="6"/>
      <c r="G14" s="6"/>
      <c r="H14" s="6"/>
      <c r="I14" s="6"/>
      <c r="J14" s="6"/>
      <c r="K14" s="6"/>
      <c r="L14" s="6"/>
      <c r="M14" s="6"/>
      <c r="N14" s="6"/>
      <c r="O14" s="6"/>
      <c r="P14" s="6"/>
      <c r="Q14" s="6"/>
      <c r="R14" s="6"/>
      <c r="S14" s="6"/>
      <c r="T14" s="6"/>
      <c r="U14" s="6"/>
      <c r="V14" s="6"/>
      <c r="W14" s="6"/>
    </row>
    <row r="15" spans="2:23" ht="19.5" x14ac:dyDescent="0.45">
      <c r="B15" s="17" t="s">
        <v>126</v>
      </c>
      <c r="C15" s="21">
        <v>100.7</v>
      </c>
      <c r="D15" s="31">
        <f t="shared" si="0"/>
        <v>8.0080080080080496E-3</v>
      </c>
      <c r="E15" s="6"/>
      <c r="F15" s="6"/>
      <c r="G15" s="6"/>
      <c r="H15" s="6"/>
      <c r="I15" s="6"/>
      <c r="J15" s="6"/>
      <c r="K15" s="6"/>
      <c r="L15" s="6"/>
      <c r="M15" s="6"/>
      <c r="N15" s="6"/>
      <c r="O15" s="6"/>
      <c r="P15" s="6"/>
      <c r="Q15" s="6"/>
      <c r="R15" s="6"/>
      <c r="S15" s="6"/>
      <c r="T15" s="6"/>
      <c r="U15" s="6"/>
      <c r="V15" s="6"/>
      <c r="W15" s="6"/>
    </row>
    <row r="16" spans="2:23" ht="19.5" x14ac:dyDescent="0.45">
      <c r="B16" s="17" t="s">
        <v>127</v>
      </c>
      <c r="C16" s="21">
        <v>101.3</v>
      </c>
      <c r="D16" s="31">
        <f t="shared" si="0"/>
        <v>5.9582919563057057E-3</v>
      </c>
      <c r="E16" s="6"/>
      <c r="F16" s="6"/>
      <c r="G16" s="6"/>
      <c r="H16" s="6"/>
      <c r="I16" s="6"/>
      <c r="J16" s="6"/>
      <c r="K16" s="6"/>
      <c r="L16" s="6"/>
      <c r="M16" s="6"/>
      <c r="N16" s="6"/>
      <c r="O16" s="6"/>
      <c r="P16" s="6"/>
      <c r="Q16" s="6"/>
      <c r="R16" s="6"/>
      <c r="S16" s="6"/>
      <c r="T16" s="6"/>
      <c r="U16" s="6"/>
      <c r="V16" s="6"/>
      <c r="W16" s="6"/>
    </row>
    <row r="17" spans="2:23" ht="19.5" x14ac:dyDescent="0.45">
      <c r="B17" s="17" t="s">
        <v>128</v>
      </c>
      <c r="C17" s="21">
        <v>100.4</v>
      </c>
      <c r="D17" s="31">
        <f t="shared" si="0"/>
        <v>-8.884501480750151E-3</v>
      </c>
      <c r="E17" s="6"/>
      <c r="F17" s="6"/>
      <c r="G17" s="6"/>
      <c r="H17" s="6"/>
      <c r="I17" s="6"/>
      <c r="J17" s="6"/>
      <c r="K17" s="6"/>
      <c r="L17" s="6"/>
      <c r="M17" s="6"/>
      <c r="N17" s="6"/>
      <c r="O17" s="6"/>
      <c r="P17" s="6"/>
      <c r="Q17" s="6"/>
      <c r="R17" s="6"/>
      <c r="S17" s="6"/>
      <c r="T17" s="6"/>
      <c r="U17" s="6"/>
      <c r="V17" s="6"/>
      <c r="W17" s="6"/>
    </row>
    <row r="18" spans="2:23" ht="19.5" x14ac:dyDescent="0.45">
      <c r="B18" s="17" t="s">
        <v>129</v>
      </c>
      <c r="C18" s="21">
        <v>100.8</v>
      </c>
      <c r="D18" s="31">
        <f t="shared" si="0"/>
        <v>3.9840637450199168E-3</v>
      </c>
      <c r="E18" s="6"/>
      <c r="F18" s="6"/>
      <c r="G18" s="6"/>
      <c r="H18" s="6"/>
      <c r="I18" s="6"/>
      <c r="J18" s="6"/>
      <c r="K18" s="6"/>
      <c r="L18" s="6"/>
      <c r="M18" s="6"/>
      <c r="N18" s="6"/>
      <c r="O18" s="6"/>
      <c r="P18" s="6"/>
      <c r="Q18" s="6"/>
      <c r="R18" s="6"/>
      <c r="S18" s="6"/>
      <c r="T18" s="6"/>
      <c r="U18" s="6"/>
      <c r="V18" s="6"/>
      <c r="W18" s="6"/>
    </row>
    <row r="19" spans="2:23" ht="19.5" x14ac:dyDescent="0.45">
      <c r="B19" s="17" t="s">
        <v>130</v>
      </c>
      <c r="C19" s="21">
        <v>104.4568568234</v>
      </c>
      <c r="D19" s="31">
        <f t="shared" si="0"/>
        <v>3.6278341501984279E-2</v>
      </c>
      <c r="E19" s="6"/>
      <c r="F19" s="6"/>
      <c r="G19" s="6"/>
      <c r="H19" s="6"/>
      <c r="I19" s="6"/>
      <c r="J19" s="6"/>
      <c r="K19" s="6"/>
      <c r="L19" s="6"/>
      <c r="M19" s="6"/>
      <c r="N19" s="6"/>
      <c r="O19" s="6"/>
      <c r="P19" s="6"/>
      <c r="Q19" s="6"/>
      <c r="R19" s="6"/>
      <c r="S19" s="6"/>
      <c r="T19" s="6"/>
      <c r="U19" s="6"/>
      <c r="V19" s="6"/>
      <c r="W19" s="6"/>
    </row>
    <row r="20" spans="2:23" ht="19.5" x14ac:dyDescent="0.45">
      <c r="B20" s="17" t="s">
        <v>131</v>
      </c>
      <c r="C20" s="21">
        <v>100.3</v>
      </c>
      <c r="D20" s="31">
        <f t="shared" si="0"/>
        <v>-3.9794963679864459E-2</v>
      </c>
      <c r="E20" s="6"/>
      <c r="F20" s="6"/>
      <c r="G20" s="6"/>
      <c r="H20" s="6"/>
      <c r="J20" s="6"/>
      <c r="K20" s="6"/>
      <c r="L20" s="6"/>
      <c r="M20" s="6"/>
      <c r="N20" s="6"/>
      <c r="O20" s="6"/>
      <c r="P20" s="6"/>
      <c r="Q20" s="6"/>
      <c r="R20" s="6"/>
      <c r="S20" s="6"/>
      <c r="T20" s="6"/>
      <c r="U20" s="6"/>
      <c r="V20" s="6"/>
      <c r="W20" s="6"/>
    </row>
    <row r="21" spans="2:23" ht="19.5" x14ac:dyDescent="0.45">
      <c r="B21" s="17" t="s">
        <v>141</v>
      </c>
      <c r="C21" s="21">
        <v>102.4</v>
      </c>
      <c r="D21" s="31">
        <f t="shared" si="0"/>
        <v>2.0937188434696052E-2</v>
      </c>
      <c r="E21" s="6"/>
      <c r="F21" s="6"/>
      <c r="G21" s="6"/>
      <c r="H21" s="6"/>
      <c r="I21" s="6"/>
      <c r="J21" s="6"/>
      <c r="K21" s="6"/>
      <c r="L21" s="6"/>
      <c r="M21" s="6"/>
      <c r="N21" s="6"/>
      <c r="O21" s="6"/>
      <c r="P21" s="6"/>
      <c r="Q21" s="6"/>
      <c r="R21" s="6"/>
      <c r="S21" s="6"/>
      <c r="T21" s="6"/>
      <c r="U21" s="6"/>
      <c r="V21" s="6"/>
      <c r="W21" s="6"/>
    </row>
    <row r="22" spans="2:23" ht="19.5" x14ac:dyDescent="0.45">
      <c r="D22" s="6"/>
      <c r="E22" s="6"/>
      <c r="F22" s="6"/>
      <c r="G22" s="6"/>
      <c r="H22" s="6"/>
      <c r="I22" s="6"/>
      <c r="J22" s="6"/>
      <c r="K22" s="6"/>
      <c r="L22" s="6"/>
      <c r="M22" s="6"/>
      <c r="N22" s="6"/>
      <c r="O22" s="6"/>
      <c r="P22" s="6"/>
      <c r="Q22" s="6"/>
      <c r="R22" s="6"/>
      <c r="S22" s="6"/>
      <c r="T22" s="6"/>
      <c r="U22" s="6"/>
      <c r="V22" s="6"/>
      <c r="W22" s="6"/>
    </row>
    <row r="23" spans="2:23" ht="19.5" x14ac:dyDescent="0.45">
      <c r="B23" s="25" t="s">
        <v>94</v>
      </c>
      <c r="D23" s="6"/>
      <c r="E23" s="6"/>
      <c r="F23" s="6"/>
      <c r="G23" s="6"/>
      <c r="H23" s="6"/>
      <c r="I23" s="6"/>
      <c r="J23" s="6"/>
      <c r="K23" s="6"/>
      <c r="L23" s="6"/>
      <c r="M23" s="6"/>
      <c r="N23" s="6"/>
      <c r="O23" s="6"/>
      <c r="P23" s="6"/>
      <c r="Q23" s="6"/>
      <c r="R23" s="6"/>
      <c r="S23" s="6"/>
      <c r="T23" s="6"/>
      <c r="U23" s="6"/>
      <c r="V23" s="6"/>
      <c r="W23" s="6"/>
    </row>
    <row r="24" spans="2:23" ht="19.5" x14ac:dyDescent="0.45">
      <c r="B24" s="25" t="s">
        <v>95</v>
      </c>
      <c r="D24" s="6"/>
      <c r="E24" s="6"/>
      <c r="F24" s="6"/>
      <c r="G24" s="6"/>
      <c r="H24" s="6"/>
      <c r="I24" s="6"/>
      <c r="J24" s="6"/>
      <c r="K24" s="6"/>
      <c r="L24" s="6"/>
      <c r="M24" s="6"/>
      <c r="N24" s="6"/>
      <c r="O24" s="6"/>
      <c r="P24" s="6"/>
      <c r="Q24" s="6"/>
      <c r="R24" s="6"/>
      <c r="S24" s="6"/>
      <c r="T24" s="6"/>
      <c r="U24" s="6"/>
      <c r="V24" s="6"/>
      <c r="W24" s="6"/>
    </row>
    <row r="31" spans="2:23" ht="106.5" customHeight="1" x14ac:dyDescent="0.4">
      <c r="B31" s="50" t="s">
        <v>120</v>
      </c>
      <c r="C31" s="50"/>
      <c r="D31" s="50"/>
      <c r="E31" s="50"/>
      <c r="F31" s="50"/>
      <c r="G31" s="50"/>
      <c r="H31" s="50"/>
      <c r="I31" s="50"/>
      <c r="J31" s="50"/>
      <c r="K31" s="50"/>
      <c r="L31" s="50"/>
      <c r="M31" s="50"/>
      <c r="N31" s="50"/>
      <c r="O31" s="50"/>
      <c r="P31" s="50"/>
    </row>
  </sheetData>
  <mergeCells count="7">
    <mergeCell ref="B31:P31"/>
    <mergeCell ref="C2:P2"/>
    <mergeCell ref="C3:P3"/>
    <mergeCell ref="C4:P4"/>
    <mergeCell ref="C5:P5"/>
    <mergeCell ref="C6:P6"/>
    <mergeCell ref="C7:P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1"/>
  <sheetViews>
    <sheetView topLeftCell="A13" zoomScale="140" zoomScaleNormal="140" workbookViewId="0">
      <selection activeCell="E37" sqref="E37"/>
    </sheetView>
  </sheetViews>
  <sheetFormatPr baseColWidth="10" defaultRowHeight="15" x14ac:dyDescent="0.25"/>
  <cols>
    <col min="1" max="1" width="5.7109375" customWidth="1"/>
    <col min="2" max="2" width="15.7109375" style="23" customWidth="1"/>
    <col min="3" max="3" width="14.28515625" style="5" bestFit="1" customWidth="1"/>
    <col min="4" max="4" width="14.28515625" style="5" customWidth="1"/>
    <col min="5" max="5" width="5.7109375" customWidth="1"/>
  </cols>
  <sheetData>
    <row r="2" spans="2:17" ht="17.25" x14ac:dyDescent="0.4">
      <c r="B2" s="18" t="s">
        <v>25</v>
      </c>
      <c r="C2" s="41" t="s">
        <v>81</v>
      </c>
      <c r="D2" s="41"/>
      <c r="E2" s="42"/>
      <c r="F2" s="42"/>
      <c r="G2" s="42"/>
      <c r="H2" s="42"/>
      <c r="I2" s="42"/>
      <c r="J2" s="42"/>
      <c r="K2" s="42"/>
      <c r="L2" s="42"/>
      <c r="M2" s="42"/>
      <c r="N2" s="42"/>
      <c r="O2" s="42"/>
      <c r="P2" s="42"/>
      <c r="Q2" s="42"/>
    </row>
    <row r="3" spans="2:17" ht="17.25" x14ac:dyDescent="0.25">
      <c r="B3" s="18" t="s">
        <v>26</v>
      </c>
      <c r="C3" s="47" t="s">
        <v>82</v>
      </c>
      <c r="D3" s="47"/>
      <c r="E3" s="53"/>
      <c r="F3" s="53"/>
      <c r="G3" s="53"/>
      <c r="H3" s="53"/>
      <c r="I3" s="53"/>
      <c r="J3" s="53"/>
      <c r="K3" s="53"/>
      <c r="L3" s="53"/>
      <c r="M3" s="53"/>
      <c r="N3" s="53"/>
      <c r="O3" s="53"/>
      <c r="P3" s="53"/>
      <c r="Q3" s="53"/>
    </row>
    <row r="4" spans="2:17" ht="17.25" x14ac:dyDescent="0.4">
      <c r="B4" s="18" t="s">
        <v>28</v>
      </c>
      <c r="C4" s="41" t="s">
        <v>38</v>
      </c>
      <c r="D4" s="41"/>
      <c r="E4" s="42"/>
      <c r="F4" s="42"/>
      <c r="G4" s="42"/>
      <c r="H4" s="42"/>
      <c r="I4" s="42"/>
      <c r="J4" s="42"/>
      <c r="K4" s="42"/>
      <c r="L4" s="42"/>
      <c r="M4" s="42"/>
      <c r="N4" s="42"/>
      <c r="O4" s="42"/>
      <c r="P4" s="42"/>
      <c r="Q4" s="42"/>
    </row>
    <row r="5" spans="2:17" ht="17.25" x14ac:dyDescent="0.4">
      <c r="B5" s="18" t="s">
        <v>30</v>
      </c>
      <c r="C5" s="41" t="s">
        <v>85</v>
      </c>
      <c r="D5" s="41"/>
      <c r="E5" s="42"/>
      <c r="F5" s="42"/>
      <c r="G5" s="42"/>
      <c r="H5" s="42"/>
      <c r="I5" s="42"/>
      <c r="J5" s="42"/>
      <c r="K5" s="42"/>
      <c r="L5" s="42"/>
      <c r="M5" s="42"/>
      <c r="N5" s="42"/>
      <c r="O5" s="42"/>
      <c r="P5" s="42"/>
      <c r="Q5" s="42"/>
    </row>
    <row r="6" spans="2:17" ht="17.25" x14ac:dyDescent="0.4">
      <c r="B6" s="18" t="s">
        <v>27</v>
      </c>
      <c r="C6" s="41" t="s">
        <v>83</v>
      </c>
      <c r="D6" s="41"/>
      <c r="E6" s="42"/>
      <c r="F6" s="42"/>
      <c r="G6" s="42"/>
      <c r="H6" s="42"/>
      <c r="I6" s="42"/>
      <c r="J6" s="42"/>
      <c r="K6" s="42"/>
      <c r="L6" s="42"/>
      <c r="M6" s="42"/>
      <c r="N6" s="42"/>
      <c r="O6" s="42"/>
      <c r="P6" s="42"/>
      <c r="Q6" s="42"/>
    </row>
    <row r="7" spans="2:17" ht="39.950000000000003" customHeight="1" x14ac:dyDescent="0.4">
      <c r="B7" s="19" t="s">
        <v>35</v>
      </c>
      <c r="C7" s="43" t="s">
        <v>84</v>
      </c>
      <c r="D7" s="43"/>
      <c r="E7" s="44"/>
      <c r="F7" s="44"/>
      <c r="G7" s="44"/>
      <c r="H7" s="44"/>
      <c r="I7" s="44"/>
      <c r="J7" s="44"/>
      <c r="K7" s="44"/>
      <c r="L7" s="44"/>
      <c r="M7" s="44"/>
      <c r="N7" s="44"/>
      <c r="O7" s="44"/>
      <c r="P7" s="44"/>
      <c r="Q7" s="44"/>
    </row>
    <row r="9" spans="2:17" ht="17.25" x14ac:dyDescent="0.25">
      <c r="B9" s="10" t="s">
        <v>34</v>
      </c>
      <c r="C9" s="10" t="s">
        <v>79</v>
      </c>
      <c r="D9" s="10" t="s">
        <v>168</v>
      </c>
    </row>
    <row r="10" spans="2:17" ht="17.25" x14ac:dyDescent="0.25">
      <c r="B10" s="17" t="s">
        <v>158</v>
      </c>
      <c r="C10" s="9">
        <v>55754.040999999997</v>
      </c>
      <c r="D10" s="38"/>
    </row>
    <row r="11" spans="2:17" ht="17.25" x14ac:dyDescent="0.25">
      <c r="B11" s="17" t="s">
        <v>159</v>
      </c>
      <c r="C11" s="9">
        <v>48824.267999999996</v>
      </c>
      <c r="D11" s="38"/>
    </row>
    <row r="12" spans="2:17" ht="17.25" x14ac:dyDescent="0.25">
      <c r="B12" s="17" t="s">
        <v>160</v>
      </c>
      <c r="C12" s="9">
        <v>54550.711000000003</v>
      </c>
      <c r="D12" s="38"/>
    </row>
    <row r="13" spans="2:17" ht="17.25" x14ac:dyDescent="0.25">
      <c r="B13" s="17" t="s">
        <v>161</v>
      </c>
      <c r="C13" s="9">
        <v>51902.527999999998</v>
      </c>
      <c r="D13" s="38"/>
    </row>
    <row r="14" spans="2:17" ht="17.25" x14ac:dyDescent="0.25">
      <c r="B14" s="17" t="s">
        <v>162</v>
      </c>
      <c r="C14" s="9">
        <v>49629.743000000002</v>
      </c>
      <c r="D14" s="38"/>
    </row>
    <row r="15" spans="2:17" ht="17.25" x14ac:dyDescent="0.25">
      <c r="B15" s="17" t="s">
        <v>163</v>
      </c>
      <c r="C15" s="9">
        <v>57897.71</v>
      </c>
      <c r="D15" s="38"/>
    </row>
    <row r="16" spans="2:17" ht="17.25" x14ac:dyDescent="0.25">
      <c r="B16" s="17" t="s">
        <v>164</v>
      </c>
      <c r="C16" s="9">
        <v>52264.794000000002</v>
      </c>
      <c r="D16" s="38"/>
    </row>
    <row r="17" spans="2:4" ht="17.25" x14ac:dyDescent="0.25">
      <c r="B17" s="17" t="s">
        <v>165</v>
      </c>
      <c r="C17" s="9">
        <v>51754.358999999997</v>
      </c>
      <c r="D17" s="38"/>
    </row>
    <row r="18" spans="2:4" ht="17.25" x14ac:dyDescent="0.25">
      <c r="B18" s="17" t="s">
        <v>153</v>
      </c>
      <c r="C18" s="9">
        <v>44398.267</v>
      </c>
      <c r="D18" s="38"/>
    </row>
    <row r="19" spans="2:4" ht="17.25" x14ac:dyDescent="0.25">
      <c r="B19" s="17" t="s">
        <v>154</v>
      </c>
      <c r="C19" s="9">
        <v>49098.535000000003</v>
      </c>
      <c r="D19" s="38"/>
    </row>
    <row r="20" spans="2:4" ht="17.25" x14ac:dyDescent="0.25">
      <c r="B20" s="17" t="s">
        <v>155</v>
      </c>
      <c r="C20" s="9">
        <v>55404.972000000002</v>
      </c>
      <c r="D20" s="38"/>
    </row>
    <row r="21" spans="2:4" ht="17.25" x14ac:dyDescent="0.25">
      <c r="B21" s="17" t="s">
        <v>156</v>
      </c>
      <c r="C21" s="9">
        <v>54347.764000000003</v>
      </c>
      <c r="D21" s="38"/>
    </row>
    <row r="22" spans="2:4" ht="17.25" x14ac:dyDescent="0.25">
      <c r="B22" s="17" t="s">
        <v>157</v>
      </c>
      <c r="C22" s="9">
        <v>55476.735000000001</v>
      </c>
      <c r="D22" s="38"/>
    </row>
    <row r="23" spans="2:4" ht="17.25" x14ac:dyDescent="0.25">
      <c r="B23" s="17" t="s">
        <v>60</v>
      </c>
      <c r="C23" s="9">
        <v>54001.826999999997</v>
      </c>
      <c r="D23" s="38">
        <f t="shared" ref="D23:D33" si="0">C23/C11-1</f>
        <v>0.1060447849417836</v>
      </c>
    </row>
    <row r="24" spans="2:4" ht="17.25" x14ac:dyDescent="0.25">
      <c r="B24" s="17" t="s">
        <v>61</v>
      </c>
      <c r="C24" s="9">
        <v>56707.773999999998</v>
      </c>
      <c r="D24" s="38">
        <f t="shared" si="0"/>
        <v>3.9542344370176785E-2</v>
      </c>
    </row>
    <row r="25" spans="2:4" ht="17.25" x14ac:dyDescent="0.25">
      <c r="B25" s="17" t="s">
        <v>86</v>
      </c>
      <c r="C25" s="9">
        <v>55718.184000000001</v>
      </c>
      <c r="D25" s="38">
        <f t="shared" si="0"/>
        <v>7.3515802544338538E-2</v>
      </c>
    </row>
    <row r="26" spans="2:4" ht="17.25" x14ac:dyDescent="0.25">
      <c r="B26" s="17" t="s">
        <v>87</v>
      </c>
      <c r="C26" s="9">
        <v>56487.938000000002</v>
      </c>
      <c r="D26" s="38">
        <f t="shared" si="0"/>
        <v>0.1381871955291003</v>
      </c>
    </row>
    <row r="27" spans="2:4" ht="17.25" x14ac:dyDescent="0.25">
      <c r="B27" s="17" t="s">
        <v>88</v>
      </c>
      <c r="C27" s="9">
        <v>66132.551000000007</v>
      </c>
      <c r="D27" s="38">
        <f t="shared" si="0"/>
        <v>0.14223085852618356</v>
      </c>
    </row>
    <row r="28" spans="2:4" ht="17.25" x14ac:dyDescent="0.25">
      <c r="B28" s="17" t="s">
        <v>62</v>
      </c>
      <c r="C28" s="9">
        <v>56411.894</v>
      </c>
      <c r="D28" s="38">
        <f t="shared" si="0"/>
        <v>7.9347868471460803E-2</v>
      </c>
    </row>
    <row r="29" spans="2:4" ht="17.25" x14ac:dyDescent="0.25">
      <c r="B29" s="17" t="s">
        <v>89</v>
      </c>
      <c r="C29" s="9">
        <v>60650.726999999999</v>
      </c>
      <c r="D29" s="38">
        <f t="shared" si="0"/>
        <v>0.17189601362853324</v>
      </c>
    </row>
    <row r="30" spans="2:4" ht="17.25" x14ac:dyDescent="0.25">
      <c r="B30" s="17" t="s">
        <v>63</v>
      </c>
      <c r="C30" s="9">
        <v>48007.822999999997</v>
      </c>
      <c r="D30" s="38">
        <f t="shared" si="0"/>
        <v>8.1299479549505671E-2</v>
      </c>
    </row>
    <row r="31" spans="2:4" ht="17.25" x14ac:dyDescent="0.25">
      <c r="B31" s="17" t="s">
        <v>64</v>
      </c>
      <c r="C31" s="9">
        <v>56851.118999999999</v>
      </c>
      <c r="D31" s="38">
        <f t="shared" si="0"/>
        <v>0.15789847904830556</v>
      </c>
    </row>
    <row r="32" spans="2:4" ht="17.25" x14ac:dyDescent="0.25">
      <c r="B32" s="17" t="s">
        <v>90</v>
      </c>
      <c r="C32" s="9">
        <v>70727.019</v>
      </c>
      <c r="D32" s="38">
        <f t="shared" si="0"/>
        <v>0.27654642619438552</v>
      </c>
    </row>
    <row r="33" spans="2:4" ht="17.25" x14ac:dyDescent="0.25">
      <c r="B33" s="17" t="s">
        <v>91</v>
      </c>
      <c r="C33" s="9">
        <v>72041.828999999998</v>
      </c>
      <c r="D33" s="38">
        <f t="shared" si="0"/>
        <v>0.32557116793250218</v>
      </c>
    </row>
    <row r="34" spans="2:4" ht="17.25" x14ac:dyDescent="0.25">
      <c r="B34" s="17" t="s">
        <v>167</v>
      </c>
      <c r="C34" s="9">
        <v>69544.490999999995</v>
      </c>
      <c r="D34" s="38">
        <f>C34/C22-1</f>
        <v>0.25357937881528159</v>
      </c>
    </row>
    <row r="35" spans="2:4" ht="17.25" x14ac:dyDescent="0.25">
      <c r="B35" s="39" t="s">
        <v>166</v>
      </c>
      <c r="D35" s="40">
        <f>AVERAGE(D23:D34)</f>
        <v>0.15380498329596312</v>
      </c>
    </row>
    <row r="36" spans="2:4" ht="17.25" x14ac:dyDescent="0.25">
      <c r="B36" s="24"/>
    </row>
    <row r="37" spans="2:4" ht="17.25" x14ac:dyDescent="0.25">
      <c r="B37" s="24"/>
    </row>
    <row r="38" spans="2:4" ht="17.25" x14ac:dyDescent="0.25">
      <c r="B38" s="24"/>
    </row>
    <row r="39" spans="2:4" ht="17.25" x14ac:dyDescent="0.25">
      <c r="B39" s="24"/>
    </row>
    <row r="40" spans="2:4" ht="17.25" x14ac:dyDescent="0.25">
      <c r="B40" s="24"/>
    </row>
    <row r="41" spans="2:4" ht="17.25" x14ac:dyDescent="0.25">
      <c r="B41" s="24"/>
    </row>
  </sheetData>
  <mergeCells count="6">
    <mergeCell ref="C7:Q7"/>
    <mergeCell ref="C2:Q2"/>
    <mergeCell ref="C3:Q3"/>
    <mergeCell ref="C4:Q4"/>
    <mergeCell ref="C5:Q5"/>
    <mergeCell ref="C6:Q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5"/>
  <sheetViews>
    <sheetView tabSelected="1" workbookViewId="0">
      <selection activeCell="T11" sqref="T11"/>
    </sheetView>
  </sheetViews>
  <sheetFormatPr baseColWidth="10" defaultRowHeight="15" x14ac:dyDescent="0.25"/>
  <cols>
    <col min="1" max="1" width="5.7109375" customWidth="1"/>
    <col min="2" max="2" width="15.7109375" style="23" customWidth="1"/>
    <col min="3" max="3" width="14.28515625" bestFit="1" customWidth="1"/>
    <col min="4" max="4" width="14.28515625" customWidth="1"/>
    <col min="5" max="5" width="15.28515625" customWidth="1"/>
    <col min="6" max="6" width="5.7109375" customWidth="1"/>
  </cols>
  <sheetData>
    <row r="2" spans="2:18" ht="17.25" x14ac:dyDescent="0.4">
      <c r="B2" s="18" t="s">
        <v>25</v>
      </c>
      <c r="C2" s="41" t="s">
        <v>81</v>
      </c>
      <c r="D2" s="41"/>
      <c r="E2" s="42"/>
      <c r="F2" s="42"/>
      <c r="G2" s="42"/>
      <c r="H2" s="42"/>
      <c r="I2" s="42"/>
      <c r="J2" s="42"/>
      <c r="K2" s="42"/>
      <c r="L2" s="42"/>
      <c r="M2" s="42"/>
      <c r="N2" s="42"/>
      <c r="O2" s="42"/>
      <c r="P2" s="42"/>
      <c r="Q2" s="42"/>
      <c r="R2" s="42"/>
    </row>
    <row r="3" spans="2:18" ht="17.25" x14ac:dyDescent="0.25">
      <c r="B3" s="18" t="s">
        <v>26</v>
      </c>
      <c r="C3" s="47" t="s">
        <v>82</v>
      </c>
      <c r="D3" s="47"/>
      <c r="E3" s="53"/>
      <c r="F3" s="53"/>
      <c r="G3" s="53"/>
      <c r="H3" s="53"/>
      <c r="I3" s="53"/>
      <c r="J3" s="53"/>
      <c r="K3" s="53"/>
      <c r="L3" s="53"/>
      <c r="M3" s="53"/>
      <c r="N3" s="53"/>
      <c r="O3" s="53"/>
      <c r="P3" s="53"/>
      <c r="Q3" s="53"/>
      <c r="R3" s="53"/>
    </row>
    <row r="4" spans="2:18" ht="17.25" x14ac:dyDescent="0.4">
      <c r="B4" s="18" t="s">
        <v>28</v>
      </c>
      <c r="C4" s="41" t="s">
        <v>38</v>
      </c>
      <c r="D4" s="41"/>
      <c r="E4" s="42"/>
      <c r="F4" s="42"/>
      <c r="G4" s="42"/>
      <c r="H4" s="42"/>
      <c r="I4" s="42"/>
      <c r="J4" s="42"/>
      <c r="K4" s="42"/>
      <c r="L4" s="42"/>
      <c r="M4" s="42"/>
      <c r="N4" s="42"/>
      <c r="O4" s="42"/>
      <c r="P4" s="42"/>
      <c r="Q4" s="42"/>
      <c r="R4" s="42"/>
    </row>
    <row r="5" spans="2:18" ht="17.25" x14ac:dyDescent="0.4">
      <c r="B5" s="18" t="s">
        <v>30</v>
      </c>
      <c r="C5" s="41" t="s">
        <v>85</v>
      </c>
      <c r="D5" s="41"/>
      <c r="E5" s="42"/>
      <c r="F5" s="42"/>
      <c r="G5" s="42"/>
      <c r="H5" s="42"/>
      <c r="I5" s="42"/>
      <c r="J5" s="42"/>
      <c r="K5" s="42"/>
      <c r="L5" s="42"/>
      <c r="M5" s="42"/>
      <c r="N5" s="42"/>
      <c r="O5" s="42"/>
      <c r="P5" s="42"/>
      <c r="Q5" s="42"/>
      <c r="R5" s="42"/>
    </row>
    <row r="6" spans="2:18" ht="17.25" x14ac:dyDescent="0.4">
      <c r="B6" s="18" t="s">
        <v>27</v>
      </c>
      <c r="C6" s="41" t="s">
        <v>83</v>
      </c>
      <c r="D6" s="41"/>
      <c r="E6" s="42"/>
      <c r="F6" s="42"/>
      <c r="G6" s="42"/>
      <c r="H6" s="42"/>
      <c r="I6" s="42"/>
      <c r="J6" s="42"/>
      <c r="K6" s="42"/>
      <c r="L6" s="42"/>
      <c r="M6" s="42"/>
      <c r="N6" s="42"/>
      <c r="O6" s="42"/>
      <c r="P6" s="42"/>
      <c r="Q6" s="42"/>
      <c r="R6" s="42"/>
    </row>
    <row r="7" spans="2:18" ht="39.950000000000003" customHeight="1" x14ac:dyDescent="0.4">
      <c r="B7" s="19" t="s">
        <v>35</v>
      </c>
      <c r="C7" s="43" t="s">
        <v>84</v>
      </c>
      <c r="D7" s="43"/>
      <c r="E7" s="44"/>
      <c r="F7" s="44"/>
      <c r="G7" s="44"/>
      <c r="H7" s="44"/>
      <c r="I7" s="44"/>
      <c r="J7" s="44"/>
      <c r="K7" s="44"/>
      <c r="L7" s="44"/>
      <c r="M7" s="44"/>
      <c r="N7" s="44"/>
      <c r="O7" s="44"/>
      <c r="P7" s="44"/>
      <c r="Q7" s="44"/>
      <c r="R7" s="44"/>
    </row>
    <row r="9" spans="2:18" ht="34.5" x14ac:dyDescent="0.25">
      <c r="B9" s="10" t="s">
        <v>34</v>
      </c>
      <c r="C9" s="10" t="s">
        <v>79</v>
      </c>
      <c r="D9" s="10" t="s">
        <v>151</v>
      </c>
      <c r="E9" s="10" t="s">
        <v>80</v>
      </c>
    </row>
    <row r="10" spans="2:18" ht="17.25" x14ac:dyDescent="0.25">
      <c r="B10" s="17" t="s">
        <v>158</v>
      </c>
      <c r="C10" s="9">
        <v>55754.040999999997</v>
      </c>
      <c r="D10" s="9"/>
      <c r="E10" s="9">
        <v>54863.065000000002</v>
      </c>
    </row>
    <row r="11" spans="2:18" ht="17.25" x14ac:dyDescent="0.25">
      <c r="B11" s="17" t="s">
        <v>159</v>
      </c>
      <c r="C11" s="9">
        <v>48824.267999999996</v>
      </c>
      <c r="D11" s="9"/>
      <c r="E11" s="9">
        <v>51230.591</v>
      </c>
    </row>
    <row r="12" spans="2:18" ht="17.25" x14ac:dyDescent="0.25">
      <c r="B12" s="17" t="s">
        <v>160</v>
      </c>
      <c r="C12" s="9">
        <v>54550.711000000003</v>
      </c>
      <c r="D12" s="9"/>
      <c r="E12" s="9">
        <v>55771.222000000002</v>
      </c>
    </row>
    <row r="13" spans="2:18" ht="17.25" x14ac:dyDescent="0.25">
      <c r="B13" s="17" t="s">
        <v>161</v>
      </c>
      <c r="C13" s="9">
        <v>51902.527999999998</v>
      </c>
      <c r="D13" s="9"/>
      <c r="E13" s="9">
        <v>57747.196000000004</v>
      </c>
    </row>
    <row r="14" spans="2:18" ht="17.25" x14ac:dyDescent="0.25">
      <c r="B14" s="17" t="s">
        <v>162</v>
      </c>
      <c r="C14" s="9">
        <v>49629.743000000002</v>
      </c>
      <c r="D14" s="9"/>
      <c r="E14" s="9">
        <v>51120.788999999997</v>
      </c>
    </row>
    <row r="15" spans="2:18" ht="17.25" x14ac:dyDescent="0.25">
      <c r="B15" s="17" t="s">
        <v>163</v>
      </c>
      <c r="C15" s="9">
        <v>57897.71</v>
      </c>
      <c r="D15" s="9"/>
      <c r="E15" s="9">
        <v>58109.034</v>
      </c>
    </row>
    <row r="16" spans="2:18" ht="17.25" x14ac:dyDescent="0.25">
      <c r="B16" s="17" t="s">
        <v>164</v>
      </c>
      <c r="C16" s="9">
        <v>52264.794000000002</v>
      </c>
      <c r="D16" s="9"/>
      <c r="E16" s="9">
        <v>52971.031000000003</v>
      </c>
    </row>
    <row r="17" spans="2:5" ht="17.25" x14ac:dyDescent="0.25">
      <c r="B17" s="17" t="s">
        <v>165</v>
      </c>
      <c r="C17" s="9">
        <v>51754.358999999997</v>
      </c>
      <c r="D17" s="9"/>
      <c r="E17" s="9">
        <v>49905.838000000003</v>
      </c>
    </row>
    <row r="18" spans="2:5" ht="17.25" x14ac:dyDescent="0.25">
      <c r="B18" s="17" t="s">
        <v>153</v>
      </c>
      <c r="C18" s="9">
        <v>44398.267</v>
      </c>
      <c r="D18" s="9"/>
      <c r="E18" s="9">
        <v>49611.476000000002</v>
      </c>
    </row>
    <row r="19" spans="2:5" ht="17.25" x14ac:dyDescent="0.25">
      <c r="B19" s="17" t="s">
        <v>154</v>
      </c>
      <c r="C19" s="9">
        <v>49098.535000000003</v>
      </c>
      <c r="D19" s="9"/>
      <c r="E19" s="9">
        <v>47444.307000000001</v>
      </c>
    </row>
    <row r="20" spans="2:5" ht="17.25" x14ac:dyDescent="0.25">
      <c r="B20" s="17" t="s">
        <v>155</v>
      </c>
      <c r="C20" s="9">
        <v>55404.972000000002</v>
      </c>
      <c r="D20" s="9"/>
      <c r="E20" s="9">
        <v>52115.201000000001</v>
      </c>
    </row>
    <row r="21" spans="2:5" ht="17.25" x14ac:dyDescent="0.25">
      <c r="B21" s="17" t="s">
        <v>156</v>
      </c>
      <c r="C21" s="9">
        <v>54347.764000000003</v>
      </c>
      <c r="D21" s="9"/>
      <c r="E21" s="9">
        <v>54392.226000000002</v>
      </c>
    </row>
    <row r="22" spans="2:5" ht="17.25" x14ac:dyDescent="0.25">
      <c r="B22" s="17" t="s">
        <v>157</v>
      </c>
      <c r="C22" s="9">
        <v>55476.735000000001</v>
      </c>
      <c r="D22" s="9"/>
      <c r="E22" s="9">
        <v>54244.911</v>
      </c>
    </row>
    <row r="23" spans="2:5" ht="17.25" x14ac:dyDescent="0.25">
      <c r="B23" s="17" t="s">
        <v>60</v>
      </c>
      <c r="C23" s="9">
        <v>54001.826999999997</v>
      </c>
      <c r="D23" s="9"/>
      <c r="E23" s="9">
        <v>53487.398000000001</v>
      </c>
    </row>
    <row r="24" spans="2:5" ht="17.25" x14ac:dyDescent="0.25">
      <c r="B24" s="17" t="s">
        <v>61</v>
      </c>
      <c r="C24" s="9">
        <v>56707.773999999998</v>
      </c>
      <c r="D24" s="9"/>
      <c r="E24" s="9">
        <v>56724.468000000001</v>
      </c>
    </row>
    <row r="25" spans="2:5" ht="17.25" x14ac:dyDescent="0.25">
      <c r="B25" s="17" t="s">
        <v>86</v>
      </c>
      <c r="C25" s="9">
        <v>55718.184000000001</v>
      </c>
      <c r="D25" s="9"/>
      <c r="E25" s="9">
        <v>57662.067999999999</v>
      </c>
    </row>
    <row r="26" spans="2:5" ht="17.25" x14ac:dyDescent="0.25">
      <c r="B26" s="17" t="s">
        <v>87</v>
      </c>
      <c r="C26" s="9">
        <v>56487.938000000002</v>
      </c>
      <c r="D26" s="9"/>
      <c r="E26" s="9">
        <v>58887.474999999999</v>
      </c>
    </row>
    <row r="27" spans="2:5" ht="17.25" x14ac:dyDescent="0.25">
      <c r="B27" s="17" t="s">
        <v>88</v>
      </c>
      <c r="C27" s="9">
        <v>66132.551000000007</v>
      </c>
      <c r="D27" s="9"/>
      <c r="E27" s="9">
        <v>65526.483</v>
      </c>
    </row>
    <row r="28" spans="2:5" ht="17.25" x14ac:dyDescent="0.25">
      <c r="B28" s="17" t="s">
        <v>62</v>
      </c>
      <c r="C28" s="9">
        <v>56411.894</v>
      </c>
      <c r="D28" s="9"/>
      <c r="E28" s="9">
        <v>55749.101999999999</v>
      </c>
    </row>
    <row r="29" spans="2:5" ht="17.25" x14ac:dyDescent="0.25">
      <c r="B29" s="17" t="s">
        <v>89</v>
      </c>
      <c r="C29" s="9">
        <v>60650.726999999999</v>
      </c>
      <c r="D29" s="9"/>
      <c r="E29" s="9">
        <v>58221.107000000004</v>
      </c>
    </row>
    <row r="30" spans="2:5" ht="17.25" x14ac:dyDescent="0.25">
      <c r="B30" s="17" t="s">
        <v>63</v>
      </c>
      <c r="C30" s="9">
        <v>48007.822999999997</v>
      </c>
      <c r="D30" s="9"/>
      <c r="E30" s="9">
        <v>54488.877</v>
      </c>
    </row>
    <row r="31" spans="2:5" ht="17.25" x14ac:dyDescent="0.25">
      <c r="B31" s="17" t="s">
        <v>64</v>
      </c>
      <c r="C31" s="9">
        <v>56851.118999999999</v>
      </c>
      <c r="D31" s="9"/>
      <c r="E31" s="9">
        <v>57313.896999999997</v>
      </c>
    </row>
    <row r="32" spans="2:5" ht="17.25" x14ac:dyDescent="0.25">
      <c r="B32" s="17" t="s">
        <v>90</v>
      </c>
      <c r="C32" s="9">
        <v>70727.019</v>
      </c>
      <c r="D32" s="9"/>
      <c r="E32" s="9">
        <v>64795.021000000001</v>
      </c>
    </row>
    <row r="33" spans="2:5" ht="17.25" x14ac:dyDescent="0.25">
      <c r="B33" s="17" t="s">
        <v>91</v>
      </c>
      <c r="C33" s="9">
        <v>72041.828999999998</v>
      </c>
      <c r="D33" s="9"/>
      <c r="E33" s="9">
        <v>67521.797999999995</v>
      </c>
    </row>
    <row r="34" spans="2:5" ht="17.25" x14ac:dyDescent="0.25">
      <c r="B34" s="17" t="s">
        <v>150</v>
      </c>
      <c r="C34" s="9">
        <v>69544.490999999995</v>
      </c>
      <c r="D34" s="9"/>
      <c r="E34" s="9">
        <v>67285.323000000004</v>
      </c>
    </row>
    <row r="35" spans="2:5" ht="17.25" x14ac:dyDescent="0.25">
      <c r="B35" s="24"/>
    </row>
  </sheetData>
  <mergeCells count="6">
    <mergeCell ref="C7:R7"/>
    <mergeCell ref="C2:R2"/>
    <mergeCell ref="C3:R3"/>
    <mergeCell ref="C4:R4"/>
    <mergeCell ref="C5:R5"/>
    <mergeCell ref="C6:R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32"/>
  <sheetViews>
    <sheetView topLeftCell="A7" workbookViewId="0">
      <selection activeCell="C11" sqref="C10:C11"/>
    </sheetView>
  </sheetViews>
  <sheetFormatPr baseColWidth="10" defaultRowHeight="15" x14ac:dyDescent="0.25"/>
  <cols>
    <col min="1" max="1" width="5.7109375" customWidth="1"/>
    <col min="2" max="2" width="15.7109375" customWidth="1"/>
    <col min="3" max="3" width="14.42578125" style="5" bestFit="1" customWidth="1"/>
    <col min="4" max="4" width="13.140625" customWidth="1"/>
    <col min="5" max="5" width="5.7109375" customWidth="1"/>
    <col min="6" max="23" width="12.28515625" bestFit="1" customWidth="1"/>
  </cols>
  <sheetData>
    <row r="2" spans="2:23" ht="20.100000000000001" customHeight="1" x14ac:dyDescent="0.4">
      <c r="B2" s="18" t="s">
        <v>25</v>
      </c>
      <c r="C2" s="41" t="s">
        <v>73</v>
      </c>
      <c r="D2" s="42"/>
      <c r="E2" s="42"/>
      <c r="F2" s="42"/>
      <c r="G2" s="42"/>
      <c r="H2" s="42"/>
      <c r="I2" s="42"/>
      <c r="J2" s="42"/>
      <c r="K2" s="42"/>
      <c r="L2" s="42"/>
      <c r="M2" s="42"/>
      <c r="N2" s="42"/>
      <c r="O2" s="42"/>
      <c r="P2" s="42"/>
    </row>
    <row r="3" spans="2:23" ht="39.950000000000003" customHeight="1" x14ac:dyDescent="0.25">
      <c r="B3" s="18" t="s">
        <v>26</v>
      </c>
      <c r="C3" s="45" t="s">
        <v>72</v>
      </c>
      <c r="D3" s="46"/>
      <c r="E3" s="46"/>
      <c r="F3" s="46"/>
      <c r="G3" s="46"/>
      <c r="H3" s="46"/>
      <c r="I3" s="46"/>
      <c r="J3" s="46"/>
      <c r="K3" s="46"/>
      <c r="L3" s="46"/>
      <c r="M3" s="46"/>
      <c r="N3" s="46"/>
      <c r="O3" s="46"/>
      <c r="P3" s="47"/>
    </row>
    <row r="4" spans="2:23" ht="20.100000000000001" customHeight="1" x14ac:dyDescent="0.4">
      <c r="B4" s="18" t="s">
        <v>28</v>
      </c>
      <c r="C4" s="41" t="s">
        <v>38</v>
      </c>
      <c r="D4" s="42"/>
      <c r="E4" s="42"/>
      <c r="F4" s="42"/>
      <c r="G4" s="42"/>
      <c r="H4" s="42"/>
      <c r="I4" s="42"/>
      <c r="J4" s="42"/>
      <c r="K4" s="42"/>
      <c r="L4" s="42"/>
      <c r="M4" s="42"/>
      <c r="N4" s="42"/>
      <c r="O4" s="42"/>
      <c r="P4" s="42"/>
    </row>
    <row r="5" spans="2:23" ht="20.100000000000001" customHeight="1" x14ac:dyDescent="0.4">
      <c r="B5" s="18" t="s">
        <v>30</v>
      </c>
      <c r="C5" s="41" t="s">
        <v>68</v>
      </c>
      <c r="D5" s="42"/>
      <c r="E5" s="42"/>
      <c r="F5" s="42"/>
      <c r="G5" s="42"/>
      <c r="H5" s="42"/>
      <c r="I5" s="42"/>
      <c r="J5" s="42"/>
      <c r="K5" s="42"/>
      <c r="L5" s="42"/>
      <c r="M5" s="42"/>
      <c r="N5" s="42"/>
      <c r="O5" s="42"/>
      <c r="P5" s="42"/>
    </row>
    <row r="6" spans="2:23" ht="20.100000000000001" customHeight="1" x14ac:dyDescent="0.4">
      <c r="B6" s="18" t="s">
        <v>27</v>
      </c>
      <c r="C6" s="51"/>
      <c r="D6" s="52"/>
      <c r="E6" s="52"/>
      <c r="F6" s="52"/>
      <c r="G6" s="52"/>
      <c r="H6" s="52"/>
      <c r="I6" s="52"/>
      <c r="J6" s="52"/>
      <c r="K6" s="52"/>
      <c r="L6" s="52"/>
      <c r="M6" s="52"/>
      <c r="N6" s="52"/>
      <c r="O6" s="52"/>
      <c r="P6" s="52"/>
    </row>
    <row r="7" spans="2:23" ht="39.950000000000003" customHeight="1" x14ac:dyDescent="0.4">
      <c r="B7" s="19" t="s">
        <v>35</v>
      </c>
      <c r="C7" s="48" t="s">
        <v>36</v>
      </c>
      <c r="D7" s="49"/>
      <c r="E7" s="49"/>
      <c r="F7" s="49"/>
      <c r="G7" s="49"/>
      <c r="H7" s="49"/>
      <c r="I7" s="49"/>
      <c r="J7" s="49"/>
      <c r="K7" s="49"/>
      <c r="L7" s="49"/>
      <c r="M7" s="49"/>
      <c r="N7" s="49"/>
      <c r="O7" s="49"/>
      <c r="P7" s="49"/>
    </row>
    <row r="8" spans="2:23" ht="20.100000000000001" customHeight="1" x14ac:dyDescent="0.45">
      <c r="B8" s="6"/>
      <c r="C8" s="7"/>
      <c r="D8" s="6"/>
      <c r="E8" s="6"/>
      <c r="F8" s="6"/>
      <c r="G8" s="6"/>
      <c r="H8" s="6"/>
      <c r="I8" s="6"/>
      <c r="J8" s="6"/>
      <c r="K8" s="6"/>
      <c r="L8" s="6"/>
      <c r="M8" s="6"/>
      <c r="N8" s="6"/>
      <c r="O8" s="6"/>
      <c r="P8" s="6"/>
      <c r="Q8" s="6"/>
      <c r="R8" s="6"/>
      <c r="S8" s="6"/>
      <c r="T8" s="6"/>
      <c r="U8" s="6"/>
      <c r="V8" s="6"/>
      <c r="W8" s="6"/>
    </row>
    <row r="9" spans="2:23" ht="51.75" x14ac:dyDescent="0.45">
      <c r="B9" s="10" t="s">
        <v>34</v>
      </c>
      <c r="C9" s="10" t="s">
        <v>69</v>
      </c>
      <c r="D9" s="10" t="s">
        <v>59</v>
      </c>
      <c r="E9" s="6"/>
      <c r="F9" s="6"/>
      <c r="G9" s="6"/>
      <c r="H9" s="6"/>
      <c r="I9" s="6"/>
      <c r="J9" s="6"/>
      <c r="K9" s="6"/>
      <c r="L9" s="6"/>
      <c r="M9" s="6"/>
      <c r="N9" s="6"/>
      <c r="O9" s="6"/>
      <c r="P9" s="6"/>
      <c r="Q9" s="6"/>
      <c r="R9" s="6"/>
      <c r="S9" s="6"/>
      <c r="T9" s="6"/>
      <c r="U9" s="6"/>
      <c r="V9" s="6"/>
      <c r="W9" s="6"/>
    </row>
    <row r="10" spans="2:23" ht="19.5" x14ac:dyDescent="0.45">
      <c r="B10" s="17" t="s">
        <v>50</v>
      </c>
      <c r="C10" s="21">
        <v>110.1915640022</v>
      </c>
      <c r="D10" s="20"/>
      <c r="E10" s="6"/>
      <c r="F10" s="6"/>
      <c r="G10" s="6"/>
      <c r="H10" s="6"/>
      <c r="I10" s="6"/>
      <c r="J10" s="6"/>
      <c r="K10" s="6"/>
      <c r="L10" s="6"/>
      <c r="M10" s="6"/>
      <c r="N10" s="6"/>
      <c r="O10" s="6"/>
      <c r="P10" s="6"/>
      <c r="Q10" s="6"/>
      <c r="R10" s="6"/>
      <c r="S10" s="6"/>
      <c r="T10" s="6"/>
      <c r="U10" s="6"/>
      <c r="V10" s="6"/>
      <c r="W10" s="6"/>
    </row>
    <row r="11" spans="2:23" ht="19.5" x14ac:dyDescent="0.45">
      <c r="B11" s="17" t="s">
        <v>42</v>
      </c>
      <c r="C11" s="21">
        <v>112.1104060481</v>
      </c>
      <c r="D11" s="20">
        <f>C11/C10-1</f>
        <v>1.7413692811018677E-2</v>
      </c>
      <c r="E11" s="6"/>
      <c r="F11" s="6"/>
      <c r="G11" s="6"/>
      <c r="H11" s="6"/>
      <c r="I11" s="6"/>
      <c r="J11" s="6"/>
      <c r="K11" s="6"/>
      <c r="L11" s="6"/>
      <c r="M11" s="6"/>
      <c r="N11" s="6"/>
      <c r="O11" s="6"/>
      <c r="P11" s="6"/>
      <c r="Q11" s="6"/>
      <c r="R11" s="6"/>
      <c r="S11" s="6"/>
      <c r="T11" s="6"/>
      <c r="U11" s="6"/>
      <c r="V11" s="6"/>
      <c r="W11" s="6"/>
    </row>
    <row r="12" spans="2:23" ht="19.5" x14ac:dyDescent="0.45">
      <c r="B12" s="17" t="s">
        <v>43</v>
      </c>
      <c r="C12" s="21">
        <v>109.88665230700001</v>
      </c>
      <c r="D12" s="20">
        <f t="shared" ref="D12:D21" si="0">C12/C11-1</f>
        <v>-1.9835391017546722E-2</v>
      </c>
      <c r="E12" s="6"/>
      <c r="F12" s="6"/>
      <c r="G12" s="6"/>
      <c r="H12" s="6"/>
      <c r="I12" s="6"/>
      <c r="J12" s="6"/>
      <c r="K12" s="6"/>
      <c r="L12" s="6"/>
      <c r="M12" s="6"/>
      <c r="N12" s="6"/>
      <c r="O12" s="6"/>
      <c r="P12" s="6"/>
      <c r="Q12" s="6"/>
      <c r="R12" s="6"/>
      <c r="S12" s="6"/>
      <c r="T12" s="6"/>
      <c r="U12" s="6"/>
      <c r="V12" s="6"/>
      <c r="W12" s="6"/>
    </row>
    <row r="13" spans="2:23" ht="19.5" x14ac:dyDescent="0.45">
      <c r="B13" s="17" t="s">
        <v>44</v>
      </c>
      <c r="C13" s="21">
        <v>113.99816028390001</v>
      </c>
      <c r="D13" s="20">
        <f t="shared" si="0"/>
        <v>3.7415899843898481E-2</v>
      </c>
      <c r="E13" s="6"/>
      <c r="F13" s="6"/>
      <c r="G13" s="6"/>
      <c r="H13" s="6"/>
      <c r="I13" s="6"/>
      <c r="J13" s="6"/>
      <c r="K13" s="6"/>
      <c r="L13" s="6"/>
      <c r="M13" s="6"/>
      <c r="N13" s="6"/>
      <c r="O13" s="6"/>
      <c r="P13" s="6"/>
      <c r="Q13" s="6"/>
      <c r="R13" s="6"/>
      <c r="S13" s="6"/>
      <c r="T13" s="6"/>
      <c r="U13" s="6"/>
      <c r="V13" s="6"/>
      <c r="W13" s="6"/>
    </row>
    <row r="14" spans="2:23" ht="19.5" x14ac:dyDescent="0.45">
      <c r="B14" s="17" t="s">
        <v>45</v>
      </c>
      <c r="C14" s="21">
        <v>114.29303772750001</v>
      </c>
      <c r="D14" s="20">
        <f t="shared" si="0"/>
        <v>2.5866859856829016E-3</v>
      </c>
      <c r="E14" s="6"/>
      <c r="F14" s="6"/>
      <c r="G14" s="6"/>
      <c r="H14" s="6"/>
      <c r="I14" s="6"/>
      <c r="J14" s="6"/>
      <c r="K14" s="6"/>
      <c r="L14" s="6"/>
      <c r="M14" s="6"/>
      <c r="N14" s="6"/>
      <c r="O14" s="6"/>
      <c r="P14" s="6"/>
      <c r="Q14" s="6"/>
      <c r="R14" s="6"/>
      <c r="S14" s="6"/>
      <c r="T14" s="6"/>
      <c r="U14" s="6"/>
      <c r="V14" s="6"/>
      <c r="W14" s="6"/>
    </row>
    <row r="15" spans="2:23" ht="19.5" x14ac:dyDescent="0.45">
      <c r="B15" s="17" t="s">
        <v>46</v>
      </c>
      <c r="C15" s="21">
        <v>113.141670895</v>
      </c>
      <c r="D15" s="20">
        <f t="shared" si="0"/>
        <v>-1.007381425319287E-2</v>
      </c>
      <c r="E15" s="6"/>
      <c r="F15" s="6"/>
      <c r="G15" s="6"/>
      <c r="H15" s="6"/>
      <c r="I15" s="6"/>
      <c r="J15" s="6"/>
      <c r="K15" s="6"/>
      <c r="L15" s="6"/>
      <c r="M15" s="6"/>
      <c r="N15" s="6"/>
      <c r="O15" s="6"/>
      <c r="P15" s="6"/>
      <c r="Q15" s="6"/>
      <c r="R15" s="6"/>
      <c r="S15" s="6"/>
      <c r="T15" s="6"/>
      <c r="U15" s="6"/>
      <c r="V15" s="6"/>
      <c r="W15" s="6"/>
    </row>
    <row r="16" spans="2:23" ht="19.5" x14ac:dyDescent="0.45">
      <c r="B16" s="17" t="s">
        <v>47</v>
      </c>
      <c r="C16" s="21">
        <v>117.4042949687</v>
      </c>
      <c r="D16" s="20">
        <f t="shared" si="0"/>
        <v>3.7675102727233734E-2</v>
      </c>
      <c r="E16" s="6"/>
      <c r="F16" s="6"/>
      <c r="G16" s="6"/>
      <c r="H16" s="6"/>
      <c r="I16" s="6"/>
      <c r="J16" s="6"/>
      <c r="K16" s="6"/>
      <c r="L16" s="6"/>
      <c r="M16" s="6"/>
      <c r="N16" s="6"/>
      <c r="O16" s="6"/>
      <c r="P16" s="6"/>
      <c r="Q16" s="6"/>
      <c r="R16" s="6"/>
      <c r="S16" s="6"/>
      <c r="T16" s="6"/>
      <c r="U16" s="6"/>
      <c r="V16" s="6"/>
      <c r="W16" s="6"/>
    </row>
    <row r="17" spans="2:23" ht="19.5" x14ac:dyDescent="0.45">
      <c r="B17" s="17" t="s">
        <v>48</v>
      </c>
      <c r="C17" s="21">
        <v>113.8299222248</v>
      </c>
      <c r="D17" s="20">
        <f t="shared" si="0"/>
        <v>-3.0444991342547745E-2</v>
      </c>
      <c r="E17" s="6"/>
      <c r="F17" s="6"/>
      <c r="G17" s="6"/>
      <c r="H17" s="6"/>
      <c r="I17" s="6"/>
      <c r="J17" s="6"/>
      <c r="K17" s="6"/>
      <c r="L17" s="6"/>
      <c r="M17" s="6"/>
      <c r="N17" s="6"/>
      <c r="O17" s="6"/>
      <c r="P17" s="6"/>
      <c r="Q17" s="6"/>
      <c r="R17" s="6"/>
      <c r="S17" s="6"/>
      <c r="T17" s="6"/>
      <c r="U17" s="6"/>
      <c r="V17" s="6"/>
      <c r="W17" s="6"/>
    </row>
    <row r="18" spans="2:23" ht="19.5" x14ac:dyDescent="0.45">
      <c r="B18" s="17" t="s">
        <v>49</v>
      </c>
      <c r="C18" s="21">
        <v>116.84388782729999</v>
      </c>
      <c r="D18" s="20">
        <f t="shared" si="0"/>
        <v>2.6477797257453917E-2</v>
      </c>
      <c r="E18" s="6"/>
      <c r="F18" s="6"/>
      <c r="G18" s="6"/>
      <c r="H18" s="6"/>
      <c r="I18" s="6"/>
      <c r="J18" s="6"/>
      <c r="K18" s="6"/>
      <c r="L18" s="6"/>
      <c r="M18" s="6"/>
      <c r="N18" s="6"/>
      <c r="O18" s="6"/>
      <c r="P18" s="6"/>
      <c r="Q18" s="6"/>
      <c r="R18" s="6"/>
      <c r="S18" s="6"/>
      <c r="T18" s="6"/>
      <c r="U18" s="6"/>
      <c r="V18" s="6"/>
      <c r="W18" s="6"/>
    </row>
    <row r="19" spans="2:23" ht="19.5" x14ac:dyDescent="0.45">
      <c r="B19" s="17" t="s">
        <v>41</v>
      </c>
      <c r="C19" s="21">
        <v>110.519200852</v>
      </c>
      <c r="D19" s="20">
        <f t="shared" si="0"/>
        <v>-5.4129378035144948E-2</v>
      </c>
      <c r="E19" s="6"/>
      <c r="F19" s="6"/>
      <c r="G19" s="6"/>
      <c r="H19" s="6"/>
      <c r="I19" s="6"/>
      <c r="J19" s="6"/>
      <c r="K19" s="6"/>
      <c r="L19" s="6"/>
      <c r="M19" s="6"/>
      <c r="N19" s="6"/>
      <c r="O19" s="6"/>
      <c r="P19" s="6"/>
      <c r="Q19" s="6"/>
      <c r="R19" s="6"/>
      <c r="S19" s="6"/>
      <c r="T19" s="6"/>
      <c r="U19" s="6"/>
      <c r="V19" s="6"/>
      <c r="W19" s="6"/>
    </row>
    <row r="20" spans="2:23" ht="19.5" x14ac:dyDescent="0.45">
      <c r="B20" s="17" t="s">
        <v>40</v>
      </c>
      <c r="C20" s="21">
        <v>104.4568568234</v>
      </c>
      <c r="D20" s="20">
        <f t="shared" si="0"/>
        <v>-5.4853310391904553E-2</v>
      </c>
      <c r="E20" s="6"/>
      <c r="F20" s="6"/>
      <c r="G20" s="6"/>
      <c r="H20" s="6"/>
      <c r="I20" s="6"/>
      <c r="J20" s="6"/>
      <c r="K20" s="6"/>
      <c r="L20" s="6"/>
      <c r="M20" s="6"/>
      <c r="N20" s="6"/>
      <c r="O20" s="6"/>
      <c r="P20" s="6"/>
      <c r="Q20" s="6"/>
      <c r="R20" s="6"/>
      <c r="S20" s="6"/>
      <c r="T20" s="6"/>
      <c r="U20" s="6"/>
      <c r="V20" s="6"/>
      <c r="W20" s="6"/>
    </row>
    <row r="21" spans="2:23" ht="19.5" x14ac:dyDescent="0.45">
      <c r="B21" s="17" t="s">
        <v>39</v>
      </c>
      <c r="C21" s="21">
        <v>113.51329476780001</v>
      </c>
      <c r="D21" s="20">
        <f t="shared" si="0"/>
        <v>8.6700272436028403E-2</v>
      </c>
      <c r="E21" s="6"/>
      <c r="F21" s="6"/>
      <c r="G21" s="6"/>
      <c r="H21" s="6"/>
      <c r="J21" s="6"/>
      <c r="K21" s="6"/>
      <c r="L21" s="6"/>
      <c r="M21" s="6"/>
      <c r="N21" s="6"/>
      <c r="O21" s="6"/>
      <c r="P21" s="6"/>
      <c r="Q21" s="6"/>
      <c r="R21" s="6"/>
      <c r="S21" s="6"/>
      <c r="T21" s="6"/>
      <c r="U21" s="6"/>
      <c r="V21" s="6"/>
      <c r="W21" s="6"/>
    </row>
    <row r="22" spans="2:23" ht="19.5" x14ac:dyDescent="0.45">
      <c r="B22" s="6"/>
      <c r="C22" s="7"/>
      <c r="D22" s="6"/>
      <c r="E22" s="6"/>
      <c r="F22" s="6"/>
      <c r="G22" s="6"/>
      <c r="H22" s="6"/>
      <c r="I22" s="6"/>
      <c r="J22" s="6"/>
      <c r="K22" s="6"/>
      <c r="L22" s="6"/>
      <c r="M22" s="6"/>
      <c r="N22" s="6"/>
      <c r="O22" s="6"/>
      <c r="P22" s="6"/>
      <c r="Q22" s="6"/>
      <c r="R22" s="6"/>
      <c r="S22" s="6"/>
      <c r="T22" s="6"/>
      <c r="U22" s="6"/>
      <c r="V22" s="6"/>
      <c r="W22" s="6"/>
    </row>
    <row r="23" spans="2:23" ht="19.5" x14ac:dyDescent="0.45">
      <c r="B23" s="25" t="s">
        <v>94</v>
      </c>
      <c r="D23" s="6"/>
      <c r="E23" s="6"/>
      <c r="F23" s="6"/>
      <c r="G23" s="6"/>
      <c r="H23" s="6"/>
      <c r="I23" s="6"/>
      <c r="J23" s="6"/>
      <c r="K23" s="6"/>
      <c r="L23" s="6"/>
      <c r="M23" s="6"/>
      <c r="N23" s="6"/>
      <c r="O23" s="6"/>
      <c r="P23" s="6"/>
      <c r="Q23" s="6"/>
      <c r="R23" s="6"/>
      <c r="S23" s="6"/>
      <c r="T23" s="6"/>
      <c r="U23" s="6"/>
      <c r="V23" s="6"/>
      <c r="W23" s="6"/>
    </row>
    <row r="24" spans="2:23" ht="19.5" x14ac:dyDescent="0.45">
      <c r="B24" s="25" t="s">
        <v>95</v>
      </c>
      <c r="D24" s="6"/>
      <c r="E24" s="6"/>
      <c r="F24" s="6"/>
      <c r="G24" s="6"/>
      <c r="H24" s="6"/>
      <c r="I24" s="6"/>
      <c r="J24" s="6"/>
      <c r="K24" s="6"/>
      <c r="L24" s="6"/>
      <c r="M24" s="6"/>
      <c r="N24" s="6"/>
      <c r="O24" s="6"/>
      <c r="P24" s="6"/>
      <c r="Q24" s="6"/>
      <c r="R24" s="6"/>
      <c r="S24" s="6"/>
      <c r="T24" s="6"/>
      <c r="U24" s="6"/>
      <c r="V24" s="6"/>
      <c r="W24" s="6"/>
    </row>
    <row r="25" spans="2:23" ht="19.5" x14ac:dyDescent="0.45">
      <c r="D25" s="6"/>
      <c r="E25" s="6"/>
      <c r="F25" s="6"/>
      <c r="G25" s="6"/>
      <c r="H25" s="6"/>
      <c r="I25" s="6"/>
      <c r="J25" s="6"/>
      <c r="K25" s="6"/>
      <c r="L25" s="6"/>
      <c r="M25" s="6"/>
      <c r="N25" s="6"/>
      <c r="O25" s="6"/>
      <c r="P25" s="6"/>
      <c r="Q25" s="6"/>
      <c r="R25" s="6"/>
      <c r="S25" s="6"/>
      <c r="T25" s="6"/>
      <c r="U25" s="6"/>
      <c r="V25" s="6"/>
      <c r="W25" s="6"/>
    </row>
    <row r="32" spans="2:23" ht="106.5" customHeight="1" x14ac:dyDescent="0.4">
      <c r="B32" s="50" t="s">
        <v>71</v>
      </c>
      <c r="C32" s="50"/>
      <c r="D32" s="50"/>
      <c r="E32" s="50"/>
      <c r="F32" s="50"/>
      <c r="G32" s="50"/>
      <c r="H32" s="50"/>
      <c r="I32" s="50"/>
      <c r="J32" s="50"/>
      <c r="K32" s="50"/>
      <c r="L32" s="50"/>
      <c r="M32" s="50"/>
      <c r="N32" s="50"/>
      <c r="O32" s="50"/>
      <c r="P32" s="50"/>
    </row>
  </sheetData>
  <mergeCells count="7">
    <mergeCell ref="C7:P7"/>
    <mergeCell ref="B32:P32"/>
    <mergeCell ref="C2:P2"/>
    <mergeCell ref="C3:P3"/>
    <mergeCell ref="C4:P4"/>
    <mergeCell ref="C5:P5"/>
    <mergeCell ref="C6:P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4"/>
  <sheetViews>
    <sheetView zoomScaleNormal="100" workbookViewId="0">
      <selection activeCell="S22" sqref="S22"/>
    </sheetView>
  </sheetViews>
  <sheetFormatPr baseColWidth="10" defaultRowHeight="15" x14ac:dyDescent="0.25"/>
  <cols>
    <col min="1" max="1" width="5.7109375" customWidth="1"/>
    <col min="2" max="2" width="15.7109375" customWidth="1"/>
    <col min="3" max="3" width="12.28515625" bestFit="1" customWidth="1"/>
    <col min="4" max="4" width="13.42578125" customWidth="1"/>
    <col min="5" max="5" width="13.7109375" customWidth="1"/>
    <col min="6" max="6" width="12.28515625" bestFit="1" customWidth="1"/>
    <col min="7" max="7" width="5.7109375" customWidth="1"/>
    <col min="8" max="13" width="12.28515625" bestFit="1" customWidth="1"/>
  </cols>
  <sheetData>
    <row r="2" spans="2:22" ht="20.100000000000001" customHeight="1" x14ac:dyDescent="0.25">
      <c r="B2" s="22" t="s">
        <v>25</v>
      </c>
      <c r="C2" s="55" t="s">
        <v>138</v>
      </c>
      <c r="D2" s="55"/>
      <c r="E2" s="55"/>
      <c r="F2" s="55"/>
      <c r="G2" s="55"/>
      <c r="H2" s="55"/>
      <c r="I2" s="55"/>
      <c r="J2" s="55"/>
      <c r="K2" s="55"/>
      <c r="L2" s="55"/>
      <c r="M2" s="55"/>
      <c r="N2" s="55"/>
      <c r="O2" s="55"/>
      <c r="P2" s="55"/>
    </row>
    <row r="3" spans="2:22" ht="39.950000000000003" customHeight="1" x14ac:dyDescent="0.25">
      <c r="B3" s="22" t="s">
        <v>26</v>
      </c>
      <c r="C3" s="56" t="s">
        <v>142</v>
      </c>
      <c r="D3" s="56"/>
      <c r="E3" s="56"/>
      <c r="F3" s="56"/>
      <c r="G3" s="56"/>
      <c r="H3" s="56"/>
      <c r="I3" s="56"/>
      <c r="J3" s="56"/>
      <c r="K3" s="56"/>
      <c r="L3" s="56"/>
      <c r="M3" s="56"/>
      <c r="N3" s="56"/>
      <c r="O3" s="56"/>
      <c r="P3" s="56"/>
    </row>
    <row r="4" spans="2:22" ht="20.100000000000001" customHeight="1" x14ac:dyDescent="0.25">
      <c r="B4" s="22" t="s">
        <v>28</v>
      </c>
      <c r="C4" s="55" t="s">
        <v>29</v>
      </c>
      <c r="D4" s="55"/>
      <c r="E4" s="55"/>
      <c r="F4" s="55"/>
      <c r="G4" s="55"/>
      <c r="H4" s="55"/>
      <c r="I4" s="55"/>
      <c r="J4" s="55"/>
      <c r="K4" s="55"/>
      <c r="L4" s="55"/>
      <c r="M4" s="55"/>
      <c r="N4" s="55"/>
      <c r="O4" s="55"/>
      <c r="P4" s="55"/>
    </row>
    <row r="5" spans="2:22" ht="20.100000000000001" customHeight="1" x14ac:dyDescent="0.25">
      <c r="B5" s="22" t="s">
        <v>30</v>
      </c>
      <c r="C5" s="55" t="s">
        <v>77</v>
      </c>
      <c r="D5" s="55"/>
      <c r="E5" s="55"/>
      <c r="F5" s="55"/>
      <c r="G5" s="55"/>
      <c r="H5" s="55"/>
      <c r="I5" s="55"/>
      <c r="J5" s="55"/>
      <c r="K5" s="55"/>
      <c r="L5" s="55"/>
      <c r="M5" s="55"/>
      <c r="N5" s="55"/>
      <c r="O5" s="55"/>
      <c r="P5" s="55"/>
    </row>
    <row r="6" spans="2:22" ht="20.100000000000001" customHeight="1" x14ac:dyDescent="0.25">
      <c r="B6" s="22" t="s">
        <v>27</v>
      </c>
      <c r="C6" s="55" t="s">
        <v>76</v>
      </c>
      <c r="D6" s="55"/>
      <c r="E6" s="55"/>
      <c r="F6" s="55"/>
      <c r="G6" s="55"/>
      <c r="H6" s="55"/>
      <c r="I6" s="55"/>
      <c r="J6" s="55"/>
      <c r="K6" s="55"/>
      <c r="L6" s="55"/>
      <c r="M6" s="55"/>
      <c r="N6" s="55"/>
      <c r="O6" s="55"/>
      <c r="P6" s="55"/>
    </row>
    <row r="7" spans="2:22" ht="39.950000000000003" customHeight="1" x14ac:dyDescent="0.25">
      <c r="B7" s="19" t="s">
        <v>35</v>
      </c>
      <c r="C7" s="56" t="s">
        <v>55</v>
      </c>
      <c r="D7" s="55"/>
      <c r="E7" s="55"/>
      <c r="F7" s="55"/>
      <c r="G7" s="55"/>
      <c r="H7" s="55"/>
      <c r="I7" s="55"/>
      <c r="J7" s="55"/>
      <c r="K7" s="55"/>
      <c r="L7" s="55"/>
      <c r="M7" s="55"/>
      <c r="N7" s="55"/>
      <c r="O7" s="55"/>
      <c r="P7" s="55"/>
    </row>
    <row r="8" spans="2:22" ht="15.75" x14ac:dyDescent="0.25">
      <c r="M8" s="54"/>
      <c r="N8" s="54"/>
      <c r="O8" s="54"/>
      <c r="P8" s="54"/>
      <c r="Q8" s="54"/>
      <c r="R8" s="54"/>
      <c r="S8" s="54"/>
      <c r="T8" s="54"/>
      <c r="U8" s="54"/>
      <c r="V8" s="54"/>
    </row>
    <row r="9" spans="2:22" ht="51.75" x14ac:dyDescent="0.25">
      <c r="B9" s="10" t="s">
        <v>34</v>
      </c>
      <c r="C9" s="8" t="s">
        <v>52</v>
      </c>
      <c r="D9" s="8" t="s">
        <v>53</v>
      </c>
      <c r="E9" s="14" t="s">
        <v>54</v>
      </c>
      <c r="F9" s="14" t="s">
        <v>51</v>
      </c>
    </row>
    <row r="10" spans="2:22" ht="17.25" x14ac:dyDescent="0.25">
      <c r="B10" s="11" t="s">
        <v>17</v>
      </c>
      <c r="C10" s="9">
        <v>11864.030462819999</v>
      </c>
      <c r="D10" s="9">
        <v>2209.4180131600001</v>
      </c>
      <c r="E10" s="9">
        <v>7025.2112565499965</v>
      </c>
      <c r="F10" s="9">
        <v>2629.4011931099972</v>
      </c>
      <c r="G10" s="15"/>
    </row>
    <row r="11" spans="2:22" ht="17.25" x14ac:dyDescent="0.25">
      <c r="B11" s="11" t="s">
        <v>18</v>
      </c>
      <c r="C11" s="9">
        <v>18433.469542559851</v>
      </c>
      <c r="D11" s="9">
        <v>6025.0006939900049</v>
      </c>
      <c r="E11" s="9">
        <v>8658.2140194699878</v>
      </c>
      <c r="F11" s="9">
        <v>3750.254829099993</v>
      </c>
      <c r="G11" s="15"/>
    </row>
    <row r="12" spans="2:22" ht="17.25" x14ac:dyDescent="0.25">
      <c r="B12" s="11" t="s">
        <v>19</v>
      </c>
      <c r="C12" s="9">
        <v>24831.724270920065</v>
      </c>
      <c r="D12" s="9">
        <v>9544.6275051499997</v>
      </c>
      <c r="E12" s="9">
        <v>9999.422711059975</v>
      </c>
      <c r="F12" s="9">
        <v>5287.6740547099762</v>
      </c>
      <c r="G12" s="15"/>
      <c r="O12" s="4"/>
    </row>
    <row r="13" spans="2:22" ht="17.25" x14ac:dyDescent="0.25">
      <c r="B13" s="11" t="s">
        <v>20</v>
      </c>
      <c r="C13" s="9">
        <v>31621.20435087015</v>
      </c>
      <c r="D13" s="9">
        <v>13825.301669439956</v>
      </c>
      <c r="E13" s="9">
        <v>12213.01206093998</v>
      </c>
      <c r="F13" s="9">
        <v>5582.8906204900086</v>
      </c>
      <c r="G13" s="15"/>
    </row>
    <row r="14" spans="2:22" ht="17.25" x14ac:dyDescent="0.25">
      <c r="B14" s="11" t="s">
        <v>21</v>
      </c>
      <c r="C14" s="9">
        <v>19427.457786730047</v>
      </c>
      <c r="D14" s="9">
        <v>8792.2096799799965</v>
      </c>
      <c r="E14" s="9">
        <v>9259.1244507500051</v>
      </c>
      <c r="F14" s="9">
        <v>1376.1236559999968</v>
      </c>
      <c r="G14" s="15"/>
    </row>
    <row r="15" spans="2:22" ht="17.25" x14ac:dyDescent="0.25">
      <c r="B15" s="11" t="s">
        <v>22</v>
      </c>
      <c r="C15" s="9">
        <v>27511.623732829947</v>
      </c>
      <c r="D15" s="9">
        <v>11836.527790140002</v>
      </c>
      <c r="E15" s="9">
        <v>11655.60546753999</v>
      </c>
      <c r="F15" s="9">
        <v>4019.4904751499985</v>
      </c>
      <c r="G15" s="15"/>
    </row>
    <row r="16" spans="2:22" ht="17.25" x14ac:dyDescent="0.25">
      <c r="B16" s="11" t="s">
        <v>23</v>
      </c>
      <c r="C16" s="9">
        <v>32147.388864859859</v>
      </c>
      <c r="D16" s="9">
        <v>14519.885829040022</v>
      </c>
      <c r="E16" s="9">
        <v>14052.151391029991</v>
      </c>
      <c r="F16" s="9">
        <v>3575.3516447900115</v>
      </c>
      <c r="G16" s="15"/>
    </row>
    <row r="17" spans="2:7" ht="17.25" x14ac:dyDescent="0.25">
      <c r="B17" s="11" t="s">
        <v>24</v>
      </c>
      <c r="C17" s="9">
        <v>35291.618356500352</v>
      </c>
      <c r="D17" s="9">
        <v>16993.097777980158</v>
      </c>
      <c r="E17" s="9">
        <v>16027.790410173762</v>
      </c>
      <c r="F17" s="9">
        <v>2270.7301683466362</v>
      </c>
      <c r="G17" s="15"/>
    </row>
    <row r="18" spans="2:7" ht="17.25" x14ac:dyDescent="0.25">
      <c r="B18" s="11" t="s">
        <v>0</v>
      </c>
      <c r="C18" s="9">
        <v>18635.691790561821</v>
      </c>
      <c r="D18" s="9">
        <v>931.68917327933207</v>
      </c>
      <c r="E18" s="9">
        <v>16704.7085712238</v>
      </c>
      <c r="F18" s="9">
        <v>999.29404605869479</v>
      </c>
      <c r="G18" s="15"/>
    </row>
    <row r="19" spans="2:7" ht="17.25" x14ac:dyDescent="0.25">
      <c r="B19" s="11" t="s">
        <v>1</v>
      </c>
      <c r="C19" s="9">
        <v>29040.823874591104</v>
      </c>
      <c r="D19" s="9">
        <v>2135.1680389526641</v>
      </c>
      <c r="E19" s="9">
        <v>22608.621511717822</v>
      </c>
      <c r="F19" s="9">
        <v>4297.0343239205977</v>
      </c>
      <c r="G19" s="15"/>
    </row>
    <row r="20" spans="2:7" ht="17.25" x14ac:dyDescent="0.25">
      <c r="B20" s="11" t="s">
        <v>2</v>
      </c>
      <c r="C20" s="9">
        <v>32926.436800258227</v>
      </c>
      <c r="D20" s="9">
        <v>2806.2414950107768</v>
      </c>
      <c r="E20" s="9">
        <v>24905.191435293553</v>
      </c>
      <c r="F20" s="9">
        <v>5215.0038699538809</v>
      </c>
      <c r="G20" s="15"/>
    </row>
    <row r="21" spans="2:7" ht="17.25" x14ac:dyDescent="0.25">
      <c r="B21" s="11" t="s">
        <v>3</v>
      </c>
      <c r="C21" s="9">
        <v>36058.043775681152</v>
      </c>
      <c r="D21" s="9">
        <v>4817.4374360257207</v>
      </c>
      <c r="E21" s="9">
        <v>26630.612710594727</v>
      </c>
      <c r="F21" s="9">
        <v>4609.9936290604737</v>
      </c>
      <c r="G21" s="15"/>
    </row>
    <row r="22" spans="2:7" ht="17.25" x14ac:dyDescent="0.25">
      <c r="B22" s="11" t="s">
        <v>4</v>
      </c>
      <c r="C22" s="9">
        <v>20312.658750780669</v>
      </c>
      <c r="D22" s="9">
        <v>599.32444568640415</v>
      </c>
      <c r="E22" s="9">
        <v>19614.776186730029</v>
      </c>
      <c r="F22" s="9">
        <v>98.558118364204702</v>
      </c>
      <c r="G22" s="15"/>
    </row>
    <row r="23" spans="2:7" ht="17.25" x14ac:dyDescent="0.25">
      <c r="B23" s="11" t="s">
        <v>5</v>
      </c>
      <c r="C23" s="9">
        <v>31096.325109571579</v>
      </c>
      <c r="D23" s="9">
        <v>909.30707212493871</v>
      </c>
      <c r="E23" s="9">
        <v>30287.603011614978</v>
      </c>
      <c r="F23" s="9">
        <v>-100.58497416839889</v>
      </c>
      <c r="G23" s="15"/>
    </row>
    <row r="24" spans="2:7" ht="17.25" x14ac:dyDescent="0.25">
      <c r="B24" s="11" t="s">
        <v>6</v>
      </c>
      <c r="C24" s="9">
        <v>35737.489540611641</v>
      </c>
      <c r="D24" s="9">
        <v>2060.3689516581985</v>
      </c>
      <c r="E24" s="9">
        <v>30744.839323298289</v>
      </c>
      <c r="F24" s="9">
        <v>2932.2812656551187</v>
      </c>
      <c r="G24" s="15"/>
    </row>
    <row r="25" spans="2:7" ht="17.25" x14ac:dyDescent="0.25">
      <c r="B25" s="11" t="s">
        <v>7</v>
      </c>
      <c r="C25" s="9">
        <v>36872.421951159653</v>
      </c>
      <c r="D25" s="9">
        <v>3168.5436548465841</v>
      </c>
      <c r="E25" s="9">
        <v>28710.314866537199</v>
      </c>
      <c r="F25" s="9">
        <v>4993.5634297757933</v>
      </c>
      <c r="G25" s="15"/>
    </row>
    <row r="26" spans="2:7" ht="17.25" x14ac:dyDescent="0.25">
      <c r="B26" s="11" t="s">
        <v>8</v>
      </c>
      <c r="C26" s="9">
        <v>21373.193105502167</v>
      </c>
      <c r="D26" s="9">
        <v>1586.3962848710341</v>
      </c>
      <c r="E26" s="9">
        <v>16646.993088795327</v>
      </c>
      <c r="F26" s="9">
        <v>3139.8037318358101</v>
      </c>
      <c r="G26" s="15"/>
    </row>
    <row r="27" spans="2:7" ht="17.25" x14ac:dyDescent="0.25">
      <c r="B27" s="11" t="s">
        <v>9</v>
      </c>
      <c r="C27" s="9">
        <v>34264.567462965933</v>
      </c>
      <c r="D27" s="9">
        <v>3148.5384412977292</v>
      </c>
      <c r="E27" s="9">
        <v>28914.108630111772</v>
      </c>
      <c r="F27" s="9">
        <v>2201.9203915563307</v>
      </c>
      <c r="G27" s="15"/>
    </row>
    <row r="28" spans="2:7" ht="17.25" x14ac:dyDescent="0.25">
      <c r="B28" s="11" t="s">
        <v>10</v>
      </c>
      <c r="C28" s="9">
        <v>40905.613716370157</v>
      </c>
      <c r="D28" s="9">
        <v>6563.3801255314302</v>
      </c>
      <c r="E28" s="9">
        <v>27748.842164331676</v>
      </c>
      <c r="F28" s="9">
        <v>6593.3914265070589</v>
      </c>
      <c r="G28" s="15"/>
    </row>
    <row r="29" spans="2:7" ht="17.25" x14ac:dyDescent="0.25">
      <c r="B29" s="11" t="s">
        <v>11</v>
      </c>
      <c r="C29" s="9">
        <v>40870.769328033653</v>
      </c>
      <c r="D29" s="9">
        <v>7377.4265844133433</v>
      </c>
      <c r="E29" s="9">
        <v>27649.339908233083</v>
      </c>
      <c r="F29" s="9">
        <v>5844.0028353873968</v>
      </c>
      <c r="G29" s="15"/>
    </row>
    <row r="30" spans="2:7" ht="17.25" x14ac:dyDescent="0.25">
      <c r="B30" s="11" t="s">
        <v>12</v>
      </c>
      <c r="C30" s="9">
        <v>23590.622045545126</v>
      </c>
      <c r="D30" s="9">
        <v>1705.2271007425254</v>
      </c>
      <c r="E30" s="9">
        <v>22221.505971855015</v>
      </c>
      <c r="F30" s="9">
        <v>-336.11102705237278</v>
      </c>
      <c r="G30" s="15"/>
    </row>
    <row r="36" spans="2:22" x14ac:dyDescent="0.25">
      <c r="N36" t="s">
        <v>16</v>
      </c>
    </row>
    <row r="44" spans="2:22" ht="19.5" x14ac:dyDescent="0.25">
      <c r="B44" s="1">
        <v>11864.030462819986</v>
      </c>
      <c r="C44" s="2">
        <v>18433.469542559851</v>
      </c>
      <c r="D44" s="2">
        <v>24831.724270920065</v>
      </c>
      <c r="E44" s="3">
        <v>31621.20435087015</v>
      </c>
      <c r="F44" s="1">
        <v>19427.457786730047</v>
      </c>
      <c r="G44" s="2">
        <v>27511.623732829947</v>
      </c>
      <c r="H44" s="2">
        <v>32147.388864859859</v>
      </c>
      <c r="I44" s="3">
        <v>35291.618356500352</v>
      </c>
      <c r="J44" s="1">
        <v>18635.691790561821</v>
      </c>
      <c r="K44" s="2">
        <v>29040.823874591104</v>
      </c>
      <c r="L44" s="2">
        <v>32926.436800258227</v>
      </c>
      <c r="M44" s="3">
        <v>36058.043775681152</v>
      </c>
      <c r="N44" s="1">
        <v>20312.658750780669</v>
      </c>
      <c r="O44" s="2">
        <v>31096.325109571579</v>
      </c>
      <c r="P44" s="2">
        <v>35737.489540611641</v>
      </c>
      <c r="Q44" s="3">
        <v>36872.421951159653</v>
      </c>
      <c r="R44" s="2">
        <v>21373.193105502167</v>
      </c>
      <c r="S44" s="2">
        <v>34264.567462965933</v>
      </c>
      <c r="T44" s="2">
        <v>40905.613716370157</v>
      </c>
      <c r="U44" s="3">
        <v>40870.769328033653</v>
      </c>
      <c r="V44" s="2">
        <v>23590.622045545126</v>
      </c>
    </row>
  </sheetData>
  <mergeCells count="7">
    <mergeCell ref="M8:V8"/>
    <mergeCell ref="C2:P2"/>
    <mergeCell ref="C3:P3"/>
    <mergeCell ref="C4:P4"/>
    <mergeCell ref="C5:P5"/>
    <mergeCell ref="C6:P6"/>
    <mergeCell ref="C7:P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3"/>
  <sheetViews>
    <sheetView workbookViewId="0">
      <selection activeCell="S11" sqref="S11"/>
    </sheetView>
  </sheetViews>
  <sheetFormatPr baseColWidth="10" defaultRowHeight="15" x14ac:dyDescent="0.25"/>
  <cols>
    <col min="1" max="1" width="5.7109375" customWidth="1"/>
    <col min="2" max="2" width="17" bestFit="1" customWidth="1"/>
    <col min="3" max="4" width="13.28515625" style="5" customWidth="1"/>
    <col min="5" max="5" width="5.7109375" customWidth="1"/>
  </cols>
  <sheetData>
    <row r="2" spans="2:18" ht="20.100000000000001" customHeight="1" x14ac:dyDescent="0.25">
      <c r="B2" s="18" t="s">
        <v>25</v>
      </c>
      <c r="C2" s="57" t="s">
        <v>147</v>
      </c>
      <c r="D2" s="57"/>
      <c r="E2" s="58"/>
      <c r="F2" s="58"/>
      <c r="G2" s="58"/>
      <c r="H2" s="58"/>
      <c r="I2" s="58"/>
      <c r="J2" s="58"/>
      <c r="K2" s="58"/>
      <c r="L2" s="58"/>
      <c r="M2" s="58"/>
      <c r="N2" s="58"/>
      <c r="O2" s="58"/>
      <c r="P2" s="58"/>
    </row>
    <row r="3" spans="2:18" ht="39.950000000000003" customHeight="1" x14ac:dyDescent="0.25">
      <c r="B3" s="18" t="s">
        <v>26</v>
      </c>
      <c r="C3" s="45" t="s">
        <v>92</v>
      </c>
      <c r="D3" s="46"/>
      <c r="E3" s="46"/>
      <c r="F3" s="46"/>
      <c r="G3" s="46"/>
      <c r="H3" s="46"/>
      <c r="I3" s="46"/>
      <c r="J3" s="46"/>
      <c r="K3" s="46"/>
      <c r="L3" s="46"/>
      <c r="M3" s="46"/>
      <c r="N3" s="46"/>
      <c r="O3" s="46"/>
      <c r="P3" s="47"/>
    </row>
    <row r="4" spans="2:18" ht="20.100000000000001" customHeight="1" x14ac:dyDescent="0.25">
      <c r="B4" s="18" t="s">
        <v>28</v>
      </c>
      <c r="C4" s="57" t="s">
        <v>38</v>
      </c>
      <c r="D4" s="57"/>
      <c r="E4" s="58"/>
      <c r="F4" s="58"/>
      <c r="G4" s="58"/>
      <c r="H4" s="58"/>
      <c r="I4" s="58"/>
      <c r="J4" s="58"/>
      <c r="K4" s="58"/>
      <c r="L4" s="58"/>
      <c r="M4" s="58"/>
      <c r="N4" s="58"/>
      <c r="O4" s="58"/>
      <c r="P4" s="58"/>
    </row>
    <row r="5" spans="2:18" ht="20.100000000000001" customHeight="1" x14ac:dyDescent="0.4">
      <c r="B5" s="18" t="s">
        <v>30</v>
      </c>
      <c r="C5" s="41" t="s">
        <v>78</v>
      </c>
      <c r="D5" s="41"/>
      <c r="E5" s="42"/>
      <c r="F5" s="42"/>
      <c r="G5" s="42"/>
      <c r="H5" s="42"/>
      <c r="I5" s="42"/>
      <c r="J5" s="42"/>
      <c r="K5" s="42"/>
      <c r="L5" s="42"/>
      <c r="M5" s="42"/>
      <c r="N5" s="42"/>
      <c r="O5" s="42"/>
      <c r="P5" s="42"/>
      <c r="Q5" s="42"/>
      <c r="R5" s="42"/>
    </row>
    <row r="6" spans="2:18" ht="20.100000000000001" customHeight="1" x14ac:dyDescent="0.25">
      <c r="B6" s="18" t="s">
        <v>27</v>
      </c>
      <c r="C6" s="59"/>
      <c r="D6" s="59"/>
      <c r="E6" s="60"/>
      <c r="F6" s="60"/>
      <c r="G6" s="60"/>
      <c r="H6" s="60"/>
      <c r="I6" s="60"/>
      <c r="J6" s="60"/>
      <c r="K6" s="60"/>
      <c r="L6" s="60"/>
      <c r="M6" s="60"/>
      <c r="N6" s="60"/>
      <c r="O6" s="60"/>
      <c r="P6" s="60"/>
    </row>
    <row r="7" spans="2:18" ht="39.950000000000003" customHeight="1" x14ac:dyDescent="0.25">
      <c r="B7" s="19" t="s">
        <v>35</v>
      </c>
      <c r="C7" s="56" t="s">
        <v>148</v>
      </c>
      <c r="D7" s="56"/>
      <c r="E7" s="55"/>
      <c r="F7" s="55"/>
      <c r="G7" s="55"/>
      <c r="H7" s="55"/>
      <c r="I7" s="55"/>
      <c r="J7" s="55"/>
      <c r="K7" s="55"/>
      <c r="L7" s="55"/>
      <c r="M7" s="55"/>
      <c r="N7" s="55"/>
      <c r="O7" s="55"/>
      <c r="P7" s="55"/>
    </row>
    <row r="9" spans="2:18" ht="17.25" x14ac:dyDescent="0.25">
      <c r="B9" s="10" t="s">
        <v>34</v>
      </c>
      <c r="C9" s="10" t="s">
        <v>146</v>
      </c>
      <c r="D9" s="16" t="s">
        <v>145</v>
      </c>
    </row>
    <row r="10" spans="2:18" ht="17.25" x14ac:dyDescent="0.25">
      <c r="B10" s="17" t="s">
        <v>60</v>
      </c>
      <c r="C10" s="34">
        <v>2.5999999999999999E-2</v>
      </c>
      <c r="D10" s="34">
        <v>4.9000000000000002E-2</v>
      </c>
    </row>
    <row r="11" spans="2:18" ht="17.25" x14ac:dyDescent="0.25">
      <c r="B11" s="17" t="s">
        <v>61</v>
      </c>
      <c r="C11" s="34">
        <v>2.5999999999999999E-2</v>
      </c>
      <c r="D11" s="34">
        <v>4.9000000000000002E-2</v>
      </c>
    </row>
    <row r="12" spans="2:18" ht="17.25" x14ac:dyDescent="0.25">
      <c r="B12" s="17" t="s">
        <v>86</v>
      </c>
      <c r="C12" s="34">
        <v>2.7E-2</v>
      </c>
      <c r="D12" s="34">
        <v>4.9000000000000002E-2</v>
      </c>
    </row>
    <row r="13" spans="2:18" ht="17.25" x14ac:dyDescent="0.25">
      <c r="B13" s="17" t="s">
        <v>87</v>
      </c>
      <c r="C13" s="34">
        <v>2.7E-2</v>
      </c>
      <c r="D13" s="34">
        <v>4.9000000000000002E-2</v>
      </c>
    </row>
    <row r="14" spans="2:18" ht="17.25" x14ac:dyDescent="0.25">
      <c r="B14" s="17" t="s">
        <v>88</v>
      </c>
      <c r="C14" s="34">
        <v>2.5999999999999999E-2</v>
      </c>
      <c r="D14" s="34">
        <v>4.9000000000000002E-2</v>
      </c>
    </row>
    <row r="15" spans="2:18" ht="17.25" x14ac:dyDescent="0.25">
      <c r="B15" s="17" t="s">
        <v>62</v>
      </c>
      <c r="C15" s="34">
        <v>2.7E-2</v>
      </c>
      <c r="D15" s="34">
        <v>4.9000000000000002E-2</v>
      </c>
    </row>
    <row r="16" spans="2:18" ht="17.25" x14ac:dyDescent="0.25">
      <c r="B16" s="17" t="s">
        <v>89</v>
      </c>
      <c r="C16" s="34">
        <v>2.5999999999999999E-2</v>
      </c>
      <c r="D16" s="34">
        <v>4.9000000000000002E-2</v>
      </c>
    </row>
    <row r="17" spans="2:4" ht="17.25" x14ac:dyDescent="0.25">
      <c r="B17" s="17" t="s">
        <v>63</v>
      </c>
      <c r="C17" s="34">
        <v>2.5999999999999999E-2</v>
      </c>
      <c r="D17" s="34">
        <v>4.9000000000000002E-2</v>
      </c>
    </row>
    <row r="18" spans="2:4" ht="17.25" x14ac:dyDescent="0.25">
      <c r="B18" s="17" t="s">
        <v>64</v>
      </c>
      <c r="C18" s="34">
        <v>2.7E-2</v>
      </c>
      <c r="D18" s="34">
        <v>4.9000000000000002E-2</v>
      </c>
    </row>
    <row r="19" spans="2:4" ht="17.25" x14ac:dyDescent="0.25">
      <c r="B19" s="17" t="s">
        <v>90</v>
      </c>
      <c r="C19" s="34">
        <v>2.8000000000000001E-2</v>
      </c>
      <c r="D19" s="34">
        <v>4.9000000000000002E-2</v>
      </c>
    </row>
    <row r="20" spans="2:4" ht="17.25" x14ac:dyDescent="0.25">
      <c r="B20" s="17" t="s">
        <v>91</v>
      </c>
      <c r="C20" s="34">
        <v>2.5999999999999999E-2</v>
      </c>
      <c r="D20" s="34">
        <v>4.9000000000000002E-2</v>
      </c>
    </row>
    <row r="21" spans="2:4" ht="17.25" x14ac:dyDescent="0.25">
      <c r="B21" s="17" t="s">
        <v>93</v>
      </c>
      <c r="C21" s="34">
        <v>2.7E-2</v>
      </c>
      <c r="D21" s="34">
        <v>4.9000000000000002E-2</v>
      </c>
    </row>
    <row r="23" spans="2:4" x14ac:dyDescent="0.25">
      <c r="B23" t="s">
        <v>65</v>
      </c>
    </row>
  </sheetData>
  <mergeCells count="6">
    <mergeCell ref="C2:P2"/>
    <mergeCell ref="C3:P3"/>
    <mergeCell ref="C4:P4"/>
    <mergeCell ref="C6:P6"/>
    <mergeCell ref="C7:P7"/>
    <mergeCell ref="C5:R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1"/>
  <sheetViews>
    <sheetView workbookViewId="0">
      <selection activeCell="E27" sqref="E27"/>
    </sheetView>
  </sheetViews>
  <sheetFormatPr baseColWidth="10" defaultRowHeight="15" x14ac:dyDescent="0.25"/>
  <cols>
    <col min="1" max="1" width="5.7109375" customWidth="1"/>
    <col min="2" max="2" width="15.7109375" customWidth="1"/>
    <col min="3" max="3" width="12" style="5" bestFit="1" customWidth="1"/>
    <col min="4" max="4" width="12" style="5" customWidth="1"/>
    <col min="5" max="5" width="15" style="5" bestFit="1" customWidth="1"/>
    <col min="6" max="6" width="8.42578125" style="5" bestFit="1" customWidth="1"/>
    <col min="7" max="7" width="5.7109375" customWidth="1"/>
  </cols>
  <sheetData>
    <row r="2" spans="2:18" ht="20.100000000000001" customHeight="1" x14ac:dyDescent="0.4">
      <c r="B2" s="18" t="s">
        <v>25</v>
      </c>
      <c r="C2" s="41" t="s">
        <v>37</v>
      </c>
      <c r="D2" s="41"/>
      <c r="E2" s="41"/>
      <c r="F2" s="41"/>
      <c r="G2" s="42"/>
      <c r="H2" s="42"/>
      <c r="I2" s="42"/>
      <c r="J2" s="42"/>
      <c r="K2" s="42"/>
      <c r="L2" s="42"/>
      <c r="M2" s="42"/>
      <c r="N2" s="42"/>
      <c r="O2" s="42"/>
      <c r="P2" s="42"/>
      <c r="Q2" s="42"/>
      <c r="R2" s="42"/>
    </row>
    <row r="3" spans="2:18" ht="39.950000000000003" customHeight="1" x14ac:dyDescent="0.25">
      <c r="B3" s="18" t="s">
        <v>26</v>
      </c>
      <c r="C3" s="47" t="s">
        <v>66</v>
      </c>
      <c r="D3" s="47"/>
      <c r="E3" s="47"/>
      <c r="F3" s="47"/>
      <c r="G3" s="53"/>
      <c r="H3" s="53"/>
      <c r="I3" s="53"/>
      <c r="J3" s="53"/>
      <c r="K3" s="53"/>
      <c r="L3" s="53"/>
      <c r="M3" s="53"/>
      <c r="N3" s="53"/>
      <c r="O3" s="53"/>
      <c r="P3" s="53"/>
      <c r="Q3" s="53"/>
      <c r="R3" s="53"/>
    </row>
    <row r="4" spans="2:18" ht="20.100000000000001" customHeight="1" x14ac:dyDescent="0.4">
      <c r="B4" s="18" t="s">
        <v>28</v>
      </c>
      <c r="C4" s="41" t="s">
        <v>38</v>
      </c>
      <c r="D4" s="41"/>
      <c r="E4" s="41"/>
      <c r="F4" s="41"/>
      <c r="G4" s="42"/>
      <c r="H4" s="42"/>
      <c r="I4" s="42"/>
      <c r="J4" s="42"/>
      <c r="K4" s="42"/>
      <c r="L4" s="42"/>
      <c r="M4" s="42"/>
      <c r="N4" s="42"/>
      <c r="O4" s="42"/>
      <c r="P4" s="42"/>
      <c r="Q4" s="42"/>
      <c r="R4" s="42"/>
    </row>
    <row r="5" spans="2:18" ht="20.100000000000001" customHeight="1" x14ac:dyDescent="0.4">
      <c r="B5" s="18" t="s">
        <v>30</v>
      </c>
      <c r="C5" s="41"/>
      <c r="D5" s="41"/>
      <c r="E5" s="41"/>
      <c r="F5" s="41"/>
      <c r="G5" s="42"/>
      <c r="H5" s="42"/>
      <c r="I5" s="42"/>
      <c r="J5" s="42"/>
      <c r="K5" s="42"/>
      <c r="L5" s="42"/>
      <c r="M5" s="42"/>
      <c r="N5" s="42"/>
      <c r="O5" s="42"/>
      <c r="P5" s="42"/>
      <c r="Q5" s="42"/>
      <c r="R5" s="42"/>
    </row>
    <row r="6" spans="2:18" ht="20.100000000000001" customHeight="1" x14ac:dyDescent="0.4">
      <c r="B6" s="18" t="s">
        <v>27</v>
      </c>
      <c r="C6" s="41"/>
      <c r="D6" s="41"/>
      <c r="E6" s="41"/>
      <c r="F6" s="41"/>
      <c r="G6" s="42"/>
      <c r="H6" s="42"/>
      <c r="I6" s="42"/>
      <c r="J6" s="42"/>
      <c r="K6" s="42"/>
      <c r="L6" s="42"/>
      <c r="M6" s="42"/>
      <c r="N6" s="42"/>
      <c r="O6" s="42"/>
      <c r="P6" s="42"/>
      <c r="Q6" s="42"/>
      <c r="R6" s="42"/>
    </row>
    <row r="7" spans="2:18" ht="39.950000000000003" customHeight="1" x14ac:dyDescent="0.4">
      <c r="B7" s="19" t="s">
        <v>35</v>
      </c>
      <c r="C7" s="43" t="s">
        <v>67</v>
      </c>
      <c r="D7" s="43"/>
      <c r="E7" s="43"/>
      <c r="F7" s="43"/>
      <c r="G7" s="44"/>
      <c r="H7" s="44"/>
      <c r="I7" s="44"/>
      <c r="J7" s="44"/>
      <c r="K7" s="44"/>
      <c r="L7" s="44"/>
      <c r="M7" s="44"/>
      <c r="N7" s="44"/>
      <c r="O7" s="44"/>
      <c r="P7" s="44"/>
      <c r="Q7" s="44"/>
      <c r="R7" s="44"/>
    </row>
    <row r="8" spans="2:18" ht="20.100000000000001" customHeight="1" x14ac:dyDescent="0.25"/>
    <row r="9" spans="2:18" ht="17.25" x14ac:dyDescent="0.25">
      <c r="B9" s="13" t="s">
        <v>15</v>
      </c>
      <c r="C9" s="26" t="s">
        <v>137</v>
      </c>
      <c r="D9" s="26" t="s">
        <v>135</v>
      </c>
      <c r="E9" s="26" t="s">
        <v>136</v>
      </c>
      <c r="F9" s="35" t="s">
        <v>149</v>
      </c>
    </row>
    <row r="10" spans="2:18" ht="17.25" x14ac:dyDescent="0.4">
      <c r="B10" s="27" t="s">
        <v>60</v>
      </c>
      <c r="C10" s="12">
        <v>4.32</v>
      </c>
      <c r="D10" s="5">
        <v>4.24</v>
      </c>
      <c r="E10" s="5">
        <v>4.33</v>
      </c>
      <c r="F10" s="36">
        <v>3</v>
      </c>
    </row>
    <row r="11" spans="2:18" ht="17.25" x14ac:dyDescent="0.4">
      <c r="B11" s="27" t="s">
        <v>61</v>
      </c>
      <c r="C11" s="12">
        <v>3.51</v>
      </c>
      <c r="D11" s="5">
        <v>4.2300000000000004</v>
      </c>
      <c r="E11" s="5">
        <v>1.1399999999999999</v>
      </c>
      <c r="F11" s="36">
        <v>3</v>
      </c>
    </row>
    <row r="12" spans="2:18" ht="17.25" x14ac:dyDescent="0.4">
      <c r="B12" s="27" t="s">
        <v>86</v>
      </c>
      <c r="C12" s="12">
        <v>3.57</v>
      </c>
      <c r="D12" s="5">
        <v>4.2300000000000004</v>
      </c>
      <c r="E12" s="5">
        <v>1.38</v>
      </c>
      <c r="F12" s="36">
        <v>3</v>
      </c>
    </row>
    <row r="13" spans="2:18" ht="17.25" x14ac:dyDescent="0.4">
      <c r="B13" s="27" t="s">
        <v>87</v>
      </c>
      <c r="C13" s="12">
        <v>3.76</v>
      </c>
      <c r="D13" s="5">
        <v>4.28</v>
      </c>
      <c r="E13" s="5">
        <v>2.02</v>
      </c>
      <c r="F13" s="36">
        <v>3</v>
      </c>
    </row>
    <row r="14" spans="2:18" ht="17.25" x14ac:dyDescent="0.4">
      <c r="B14" s="27" t="s">
        <v>88</v>
      </c>
      <c r="C14" s="12">
        <v>3.57</v>
      </c>
      <c r="D14" s="5">
        <v>4.28</v>
      </c>
      <c r="E14" s="5">
        <v>1.18</v>
      </c>
      <c r="F14" s="36">
        <v>3</v>
      </c>
    </row>
    <row r="15" spans="2:18" ht="17.25" x14ac:dyDescent="0.4">
      <c r="B15" s="27" t="s">
        <v>62</v>
      </c>
      <c r="C15" s="12">
        <v>3.8</v>
      </c>
      <c r="D15" s="5">
        <v>4.43</v>
      </c>
      <c r="E15" s="5">
        <v>1.73</v>
      </c>
      <c r="F15" s="36">
        <v>3</v>
      </c>
    </row>
    <row r="16" spans="2:18" ht="17.25" x14ac:dyDescent="0.4">
      <c r="B16" s="27" t="s">
        <v>89</v>
      </c>
      <c r="C16" s="12">
        <v>3.69</v>
      </c>
      <c r="D16" s="5">
        <v>4.33</v>
      </c>
      <c r="E16" s="5">
        <v>1.61</v>
      </c>
      <c r="F16" s="36">
        <v>3</v>
      </c>
    </row>
    <row r="17" spans="2:6" ht="17.25" x14ac:dyDescent="0.4">
      <c r="B17" s="27" t="s">
        <v>63</v>
      </c>
      <c r="C17" s="12">
        <v>3.79</v>
      </c>
      <c r="D17" s="5">
        <v>4.5199999999999996</v>
      </c>
      <c r="E17" s="5">
        <v>1.39</v>
      </c>
      <c r="F17" s="36">
        <v>3</v>
      </c>
    </row>
    <row r="18" spans="2:6" ht="17.25" x14ac:dyDescent="0.4">
      <c r="B18" s="27" t="s">
        <v>64</v>
      </c>
      <c r="C18" s="12">
        <v>4.0199999999999996</v>
      </c>
      <c r="D18" s="5">
        <v>4.5</v>
      </c>
      <c r="E18" s="5">
        <v>2.44</v>
      </c>
      <c r="F18" s="36">
        <v>3</v>
      </c>
    </row>
    <row r="19" spans="2:6" ht="17.25" x14ac:dyDescent="0.4">
      <c r="B19" s="27" t="s">
        <v>90</v>
      </c>
      <c r="C19" s="12">
        <v>4.59</v>
      </c>
      <c r="D19" s="5">
        <v>4.45</v>
      </c>
      <c r="E19" s="5">
        <v>5.05</v>
      </c>
      <c r="F19" s="36">
        <v>3</v>
      </c>
    </row>
    <row r="20" spans="2:6" ht="17.25" x14ac:dyDescent="0.4">
      <c r="B20" s="27" t="s">
        <v>91</v>
      </c>
      <c r="C20" s="12">
        <v>4.45</v>
      </c>
      <c r="D20" s="5">
        <v>4.26</v>
      </c>
      <c r="E20" s="5">
        <v>5.08</v>
      </c>
      <c r="F20" s="36">
        <v>3</v>
      </c>
    </row>
    <row r="21" spans="2:6" ht="17.25" x14ac:dyDescent="0.4">
      <c r="B21" s="27" t="s">
        <v>93</v>
      </c>
      <c r="C21" s="12">
        <v>3.94</v>
      </c>
      <c r="D21" s="5">
        <v>4.1900000000000004</v>
      </c>
      <c r="E21" s="5">
        <v>3.1</v>
      </c>
      <c r="F21" s="36">
        <v>3</v>
      </c>
    </row>
  </sheetData>
  <mergeCells count="6">
    <mergeCell ref="C7:R7"/>
    <mergeCell ref="C2:R2"/>
    <mergeCell ref="C3:R3"/>
    <mergeCell ref="C4:R4"/>
    <mergeCell ref="C5:R5"/>
    <mergeCell ref="C6:R6"/>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B0653BA58BCE848972AE9BEE44246A5" ma:contentTypeVersion="5" ma:contentTypeDescription="Crear nuevo documento." ma:contentTypeScope="" ma:versionID="f8f51151d2b6a522429a2380812a5499">
  <xsd:schema xmlns:xsd="http://www.w3.org/2001/XMLSchema" xmlns:xs="http://www.w3.org/2001/XMLSchema" xmlns:p="http://schemas.microsoft.com/office/2006/metadata/properties" xmlns:ns3="b98b5823-7157-432d-967d-33038553419f" targetNamespace="http://schemas.microsoft.com/office/2006/metadata/properties" ma:root="true" ma:fieldsID="e68e4a3ef82ffaece793d9b7b9ed94b9" ns3:_="">
    <xsd:import namespace="b98b5823-7157-432d-967d-33038553419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8b5823-7157-432d-967d-33038553419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98b5823-7157-432d-967d-33038553419f" xsi:nil="true"/>
  </documentManagement>
</p:properties>
</file>

<file path=customXml/itemProps1.xml><?xml version="1.0" encoding="utf-8"?>
<ds:datastoreItem xmlns:ds="http://schemas.openxmlformats.org/officeDocument/2006/customXml" ds:itemID="{A9E8343F-AF20-4E76-BC11-8F693E4328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8b5823-7157-432d-967d-3303855341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F4F788-F3C5-4B34-81D1-51A557971DEA}">
  <ds:schemaRefs>
    <ds:schemaRef ds:uri="http://schemas.microsoft.com/sharepoint/v3/contenttype/forms"/>
  </ds:schemaRefs>
</ds:datastoreItem>
</file>

<file path=customXml/itemProps3.xml><?xml version="1.0" encoding="utf-8"?>
<ds:datastoreItem xmlns:ds="http://schemas.openxmlformats.org/officeDocument/2006/customXml" ds:itemID="{5DB00D7F-252F-4AAA-9AE3-179804C2047E}">
  <ds:schemaRefs>
    <ds:schemaRef ds:uri="http://purl.org/dc/terms/"/>
    <ds:schemaRef ds:uri="http://schemas.microsoft.com/office/2006/metadata/properties"/>
    <ds:schemaRef ds:uri="http://schemas.openxmlformats.org/package/2006/metadata/core-properties"/>
    <ds:schemaRef ds:uri="http://purl.org/dc/elements/1.1/"/>
    <ds:schemaRef ds:uri="http://purl.org/dc/dcmitype/"/>
    <ds:schemaRef ds:uri="http://schemas.microsoft.com/office/infopath/2007/PartnerControls"/>
    <ds:schemaRef ds:uri="http://schemas.microsoft.com/office/2006/documentManagement/types"/>
    <ds:schemaRef ds:uri="b98b5823-7157-432d-967d-33038553419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PIB</vt:lpstr>
      <vt:lpstr>PIB Sectorial</vt:lpstr>
      <vt:lpstr>IGAE</vt:lpstr>
      <vt:lpstr>IMAI</vt:lpstr>
      <vt:lpstr>Exportaciones</vt:lpstr>
      <vt:lpstr>Balanza comercial</vt:lpstr>
      <vt:lpstr>Consumo Privado</vt:lpstr>
      <vt:lpstr>IED</vt:lpstr>
      <vt:lpstr>Tasa de desocupación</vt:lpstr>
      <vt:lpstr>INPC (Inflación)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Miguel Echave Bastidas</dc:creator>
  <cp:lastModifiedBy>José Miguel Echave Bastidas</cp:lastModifiedBy>
  <dcterms:created xsi:type="dcterms:W3CDTF">2026-06-10T00:22:34Z</dcterms:created>
  <dcterms:modified xsi:type="dcterms:W3CDTF">2026-07-01T16:26:25Z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0x0101006B0653BA58BCE848972AE9BEE44246A5</vt:lpwstr>
  </property>
</Properties>
</file>