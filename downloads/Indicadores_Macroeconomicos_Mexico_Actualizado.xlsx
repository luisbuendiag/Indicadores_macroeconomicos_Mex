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tables/table1.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8465" tabRatio="600" firstSheet="1" activeTab="5" autoFilterDateGrouping="1"/>
  </bookViews>
  <sheets>
    <sheet xmlns:r="http://schemas.openxmlformats.org/officeDocument/2006/relationships" name="Síntesis de coyuntura" sheetId="1" state="visible" r:id="rId1"/>
    <sheet xmlns:r="http://schemas.openxmlformats.org/officeDocument/2006/relationships" name="PIB" sheetId="2" state="visible" r:id="rId2"/>
    <sheet xmlns:r="http://schemas.openxmlformats.org/officeDocument/2006/relationships" name="PIB Sectorial" sheetId="3" state="visible" r:id="rId3"/>
    <sheet xmlns:r="http://schemas.openxmlformats.org/officeDocument/2006/relationships" name="IGAE" sheetId="4" state="visible" r:id="rId4"/>
    <sheet xmlns:r="http://schemas.openxmlformats.org/officeDocument/2006/relationships" name="IMAI" sheetId="5" state="visible" r:id="rId5"/>
    <sheet xmlns:r="http://schemas.openxmlformats.org/officeDocument/2006/relationships" name="Consumo Privado" sheetId="6" state="visible" r:id="rId6"/>
    <sheet xmlns:r="http://schemas.openxmlformats.org/officeDocument/2006/relationships" name="IED" sheetId="7" state="visible" r:id="rId7"/>
    <sheet xmlns:r="http://schemas.openxmlformats.org/officeDocument/2006/relationships" name="Tasa de desocupación" sheetId="8" state="visible" r:id="rId8"/>
    <sheet xmlns:r="http://schemas.openxmlformats.org/officeDocument/2006/relationships" name="INPC (Inflación)" sheetId="9" state="visible" r:id="rId9"/>
    <sheet xmlns:r="http://schemas.openxmlformats.org/officeDocument/2006/relationships" name="Formación bruta capital fijo" sheetId="10" state="visible" r:id="rId10"/>
    <sheet xmlns:r="http://schemas.openxmlformats.org/officeDocument/2006/relationships" name="IOAE" sheetId="11" state="visible" r:id="rId11"/>
    <sheet xmlns:r="http://schemas.openxmlformats.org/officeDocument/2006/relationships" name="EMIM (Manufactura)" sheetId="12" state="visible" r:id="rId12"/>
    <sheet xmlns:r="http://schemas.openxmlformats.org/officeDocument/2006/relationships" name="Balanza comercial" sheetId="13" state="visible" r:id="rId13"/>
    <sheet xmlns:r="http://schemas.openxmlformats.org/officeDocument/2006/relationships" name="Metodología y fuentes" sheetId="14" state="visible" r:id="rId14"/>
    <sheet xmlns:r="http://schemas.openxmlformats.org/officeDocument/2006/relationships" name="Control de actualizaciones" sheetId="15" state="visible" r:id="rId15"/>
  </sheets>
  <definedNames/>
  <calcPr calcId="191029" fullCalcOnLoad="1"/>
</workbook>
</file>

<file path=xl/styles.xml><?xml version="1.0" encoding="utf-8"?>
<styleSheet xmlns="http://schemas.openxmlformats.org/spreadsheetml/2006/main">
  <numFmts count="4">
    <numFmt numFmtId="164" formatCode="#,##0.0"/>
    <numFmt numFmtId="165" formatCode="_-&quot;$&quot;* #,##0_-;\-&quot;$&quot;* #,##0_-;_-&quot;$&quot;* &quot;-&quot;??_-;_-@_-"/>
    <numFmt numFmtId="166" formatCode="0.0"/>
    <numFmt numFmtId="167" formatCode="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10">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
      <patternFill patternType="solid">
        <fgColor rgb="FFF6E2E8"/>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87">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165" fontId="6" fillId="2" borderId="6" applyAlignment="1" pivotButton="0" quotePrefix="0" xfId="1">
      <alignment horizontal="center" vertical="center"/>
    </xf>
    <xf numFmtId="165" fontId="6" fillId="2" borderId="10" applyAlignment="1" pivotButton="0" quotePrefix="0" xfId="1">
      <alignment horizontal="center" vertical="center"/>
    </xf>
    <xf numFmtId="165" fontId="3" fillId="0" borderId="0" pivotButton="0" quotePrefix="0" xfId="0"/>
    <xf numFmtId="0" fontId="0" fillId="0" borderId="12" pivotButton="0" quotePrefix="0" xfId="0"/>
    <xf numFmtId="0" fontId="0" fillId="0" borderId="18" pivotButton="0" quotePrefix="0" xfId="0"/>
    <xf numFmtId="0" fontId="0" fillId="0" borderId="19" pivotButton="0" quotePrefix="0" xfId="0"/>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0" borderId="0" pivotButton="0" quotePrefix="0" xfId="0"/>
    <xf numFmtId="0" fontId="18" fillId="8" borderId="20" applyAlignment="1" pivotButton="0" quotePrefix="0" xfId="0">
      <alignment vertical="top" wrapText="1"/>
    </xf>
    <xf numFmtId="0" fontId="18" fillId="0" borderId="20" applyAlignment="1" pivotButton="0" quotePrefix="0" xfId="0">
      <alignment vertical="top" wrapText="1"/>
    </xf>
    <xf numFmtId="0" fontId="18" fillId="9"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800" b="1">
                <a:latin typeface="Noto Sans" panose="020B0502040504020204" pitchFamily="34" charset="0"/>
                <a:ea typeface="Noto Sans" panose="020B0502040504020204" pitchFamily="34" charset="0"/>
                <a:cs typeface="Noto Sans" panose="020B0502040504020204" pitchFamily="34" charset="0"/>
              </a:rPr>
              <a:t>Producto Interno Bruto,</a:t>
            </a:r>
            <a:r>
              <a:rPr lang="es-MX" sz="1800" b="1" baseline="0">
                <a:latin typeface="Noto Sans" panose="020B0502040504020204" pitchFamily="34" charset="0"/>
                <a:ea typeface="Noto Sans" panose="020B0502040504020204" pitchFamily="34" charset="0"/>
                <a:cs typeface="Noto Sans" panose="020B0502040504020204" pitchFamily="34" charset="0"/>
              </a:rPr>
              <a:t xml:space="preserve"> series originales (mdp a precios de 2018) </a:t>
            </a:r>
            <a:r>
              <a:rPr lang="es-MX" sz="1800" b="1">
                <a:latin typeface="Noto Sans" panose="020B0502040504020204" pitchFamily="34" charset="0"/>
                <a:ea typeface="Noto Sans" panose="020B0502040504020204" pitchFamily="34" charset="0"/>
                <a:cs typeface="Noto Sans" panose="020B0502040504020204" pitchFamily="34" charset="0"/>
              </a:rPr>
              <a:t>  </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PIB!$C$9</f>
              <strCache>
                <ptCount val="1"/>
                <pt idx="0">
                  <v>PIB</v>
                </pt>
              </strCache>
            </strRef>
          </tx>
          <spPr>
            <a:solidFill xmlns:a="http://schemas.openxmlformats.org/drawingml/2006/main">
              <a:srgbClr val="1E5B4F"/>
            </a:solidFill>
            <a:ln xmlns:a="http://schemas.openxmlformats.org/drawingml/2006/main">
              <a:noFill/>
              <a:prstDash val="solid"/>
            </a:ln>
          </spPr>
          <invertIfNegative val="0"/>
          <dLbls>
            <dLbl>
              <idx val="6"/>
            </dLbl>
            <dLbl>
              <idx val="9"/>
            </dLbl>
            <dLbl>
              <idx val="10"/>
            </dLbl>
            <dLbl>
              <idx val="14"/>
            </dLbl>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800" b="1" i="0" strike="noStrike" kern="1200" baseline="0">
                    <a:solidFill>
                      <a:schemeClr val="tx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round/>
              </a:ln>
            </spPr>
            <trendlineType val="linear"/>
            <dispRSqr val="0"/>
            <dispEq val="0"/>
          </trendline>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PIB!$C$10:$C$30</f>
              <numCache>
                <formatCode>_-"$"* #,##0_-;\-"$"* #,##0_-;_-"$"* "-"??_-;_-@_-</formatCode>
                <ptCount val="21"/>
                <pt idx="0">
                  <v>22841359.7</v>
                </pt>
                <pt idx="1">
                  <v>23623455.1</v>
                </pt>
                <pt idx="2">
                  <v>23204796.8</v>
                </pt>
                <pt idx="3">
                  <v>23949712.9</v>
                </pt>
                <pt idx="4">
                  <v>23440574.5</v>
                </pt>
                <pt idx="5">
                  <v>24310024.3</v>
                </pt>
                <pt idx="6">
                  <v>24289379.5</v>
                </pt>
                <pt idx="7">
                  <v>25052395.8</v>
                </pt>
                <pt idx="8">
                  <v>24330982.5</v>
                </pt>
                <pt idx="9">
                  <v>25108268.2</v>
                </pt>
                <pt idx="10">
                  <v>25094793.1</v>
                </pt>
                <pt idx="11">
                  <v>25590082.6</v>
                </pt>
                <pt idx="12">
                  <v>24761655.5</v>
                </pt>
                <pt idx="13">
                  <v>25655479</v>
                </pt>
                <pt idx="14">
                  <v>25475446.4</v>
                </pt>
                <pt idx="15">
                  <v>25693293</v>
                </pt>
                <pt idx="16">
                  <v>24913610.3</v>
                </pt>
                <pt idx="17">
                  <v>25618678.8</v>
                </pt>
                <pt idx="18">
                  <v>25422850.2</v>
                </pt>
                <pt idx="19">
                  <v>26135644.7</v>
                </pt>
                <pt idx="20">
                  <v>24973976.1</v>
                </pt>
              </numCache>
            </numRef>
          </val>
        </ser>
        <dLbls>
          <showLegendKey val="0"/>
          <showVal val="0"/>
          <showCatName val="0"/>
          <showSerName val="0"/>
          <showPercent val="0"/>
          <showBubbleSize val="0"/>
        </dLbls>
        <gapWidth val="100"/>
        <overlap val="-27"/>
        <axId val="1391731744"/>
        <axId val="1391729664"/>
      </barChart>
      <lineChart>
        <grouping val="standard"/>
        <varyColors val="0"/>
        <ser>
          <idx val="1"/>
          <order val="1"/>
          <tx>
            <strRef>
              <f>PIB!$D$9</f>
              <strCache>
                <ptCount val="1"/>
                <pt idx="0">
                  <v>Var. Anual (%)</v>
                </pt>
              </strCache>
            </strRef>
          </tx>
          <spPr>
            <a:ln xmlns:a="http://schemas.openxmlformats.org/drawingml/2006/main" w="38100" cap="rnd">
              <a:solidFill>
                <a:srgbClr val="A6802D"/>
              </a:solidFill>
              <a:prstDash val="solid"/>
              <a:round/>
            </a:ln>
          </spPr>
          <marker>
            <symbol val="none"/>
            <spPr>
              <a:ln xmlns:a="http://schemas.openxmlformats.org/drawingml/2006/main">
                <a:prstDash val="solid"/>
              </a:ln>
            </spPr>
          </marker>
          <dLbls>
            <dLbl>
              <idx val="4"/>
              <dLblPos val="l"/>
              <showLegendKey val="0"/>
              <showVal val="1"/>
              <showCatName val="0"/>
              <showSerName val="0"/>
              <showPercent val="0"/>
              <showBubbleSize val="0"/>
            </dLbl>
            <dLbl>
              <idx val="17"/>
              <dLblPos val="l"/>
              <showLegendKey val="0"/>
              <showVal val="1"/>
              <showCatName val="0"/>
              <showSerName val="0"/>
              <showPercent val="0"/>
              <showBubbleSize val="0"/>
            </dLbl>
            <dLbl>
              <idx val="18"/>
              <dLblPos val="b"/>
              <showLegendKey val="0"/>
              <showVal val="1"/>
              <showCatName val="0"/>
              <showSerName val="0"/>
              <showPercent val="0"/>
              <showBubbleSize val="0"/>
            </dLbl>
            <spPr>
              <a:solidFill xmlns:a="http://schemas.openxmlformats.org/drawingml/2006/main">
                <a:sysClr val="windowText" lastClr="000000">
                  <a:lumOff val="85000"/>
                  <a:lumMod val="15000"/>
                </a:sysClr>
              </a:solidFill>
              <a:ln xmlns:a="http://schemas.openxmlformats.org/drawingml/2006/main">
                <a:noFill/>
                <a:prstDash val="solid"/>
              </a:ln>
            </spPr>
            <txPr>
              <a:bodyPr xmlns:a="http://schemas.openxmlformats.org/drawingml/2006/main" rot="0" spcFirstLastPara="1" vertOverflow="clip" horzOverflow="clip"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dk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PIB!$D$10:$D$30</f>
              <numCache>
                <formatCode>0.0%</formatCode>
                <ptCount val="21"/>
                <pt idx="0">
                  <v>0.019</v>
                </pt>
                <pt idx="1">
                  <v>0.051</v>
                </pt>
                <pt idx="2">
                  <v>0.227</v>
                </pt>
                <pt idx="3">
                  <v>-0.026</v>
                </pt>
                <pt idx="4">
                  <v>0.02623376225715668</v>
                </pt>
                <pt idx="5">
                  <v>0.02906303066565386</v>
                </pt>
                <pt idx="6">
                  <v>0.04673959049708198</v>
                </pt>
                <pt idx="7">
                  <v>0.04604159158834853</v>
                </pt>
                <pt idx="8">
                  <v>0.03798575841219254</v>
                </pt>
                <pt idx="9">
                  <v>0.03283599761765754</v>
                </pt>
                <pt idx="10">
                  <v>0.03315908502314779</v>
                </pt>
                <pt idx="11">
                  <v>0.02146249022618441</v>
                </pt>
                <pt idx="12">
                  <v>0.01770060045869504</v>
                </pt>
                <pt idx="13">
                  <v>0.02179404790649797</v>
                </pt>
                <pt idx="14">
                  <v>0.01516861679166404</v>
                </pt>
                <pt idx="15">
                  <v>0.004033218712627296</v>
                </pt>
                <pt idx="16">
                  <v>0.006136697927971779</v>
                </pt>
                <pt idx="17">
                  <v>-0.001434399256392771</v>
                </pt>
                <pt idx="18">
                  <v>-0.002064584038064199</v>
                </pt>
                <pt idx="19">
                  <v>0.01721662147393865</v>
                </pt>
                <pt idx="20">
                  <v>0.002423004906679571</v>
                </pt>
              </numCache>
            </numRef>
          </val>
          <smooth val="0"/>
        </ser>
        <dLbls>
          <showLegendKey val="0"/>
          <showVal val="0"/>
          <showCatName val="0"/>
          <showSerName val="0"/>
          <showPercent val="0"/>
          <showBubbleSize val="0"/>
        </dLbls>
        <marker val="1"/>
        <smooth val="0"/>
        <axId val="1391730080"/>
        <axId val="1391721760"/>
      </lineChart>
      <catAx>
        <axId val="1391731744"/>
        <scaling>
          <orientation val="minMax"/>
        </scaling>
        <delete val="0"/>
        <axPos val="b"/>
        <numFmt formatCode="General" sourceLinked="1"/>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spc="0" normalizeH="0" baseline="0">
                <a:solidFill>
                  <a:schemeClr val="tx1">
                    <a:lumMod val="65000"/>
                    <a:lumOff val="35000"/>
                  </a:schemeClr>
                </a:solidFill>
                <a:latin typeface="+mn-lt"/>
                <a:ea typeface="+mn-ea"/>
                <a:cs typeface="+mn-cs"/>
              </a:defRPr>
            </a:pPr>
            <a:r>
              <a:t/>
            </a:r>
            <a:endParaRPr lang="es-MX"/>
          </a:p>
        </txPr>
        <crossAx val="1391729664"/>
        <crosses val="autoZero"/>
        <auto val="1"/>
        <lblAlgn val="ctr"/>
        <lblOffset val="100"/>
        <noMultiLvlLbl val="0"/>
      </catAx>
      <valAx>
        <axId val="1391729664"/>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minorGridlines>
          <spPr>
            <a:ln xmlns:a="http://schemas.openxmlformats.org/drawingml/2006/main" w="9525" cap="flat" cmpd="sng" algn="ctr">
              <a:solidFill>
                <a:schemeClr val="tx1">
                  <a:lumMod val="5000"/>
                  <a:lumOff val="95000"/>
                </a:schemeClr>
              </a:solidFill>
              <a:prstDash val="solid"/>
              <a:round/>
            </a:ln>
          </spPr>
        </min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900" b="0" i="0" strike="noStrike" kern="1200" cap="all" baseline="0">
                    <a:solidFill>
                      <a:schemeClr val="tx1">
                        <a:lumMod val="65000"/>
                        <a:lumOff val="35000"/>
                      </a:schemeClr>
                    </a:solidFill>
                    <a:latin typeface="+mn-lt"/>
                    <a:ea typeface="+mn-ea"/>
                    <a:cs typeface="+mn-cs"/>
                  </a:defRPr>
                </a:pPr>
                <a:r>
                  <a:rPr lang="es-MX"/>
                  <a:t>millones de pesos a precios de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900" b="0" i="0" strike="noStrike" kern="1200" cap="all" baseline="0">
                  <a:solidFill>
                    <a:schemeClr val="tx1">
                      <a:lumMod val="65000"/>
                      <a:lumOff val="35000"/>
                    </a:schemeClr>
                  </a:solidFill>
                  <a:latin typeface="+mn-lt"/>
                  <a:ea typeface="+mn-ea"/>
                  <a:cs typeface="+mn-cs"/>
                </a:defRPr>
              </a:pPr>
              <a:r>
                <a:t/>
              </a:r>
              <a:endParaRPr lang="es-MX"/>
            </a:p>
          </txPr>
        </title>
        <numFmt formatCode="_-&quot;$&quot;* #,##0_-;\-&quot;$&quot;* #,##0_-;_-&quot;$&quot;* &quot;-&quot;??_-;_-@_-"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1391731744"/>
        <crosses val="autoZero"/>
        <crossBetween val="between"/>
      </valAx>
      <catAx>
        <axId val="1391730080"/>
        <scaling>
          <orientation val="minMax"/>
        </scaling>
        <delete val="1"/>
        <axPos val="b"/>
        <numFmt formatCode="General" sourceLinked="1"/>
        <majorTickMark val="out"/>
        <minorTickMark val="none"/>
        <tickLblPos val="nextTo"/>
        <crossAx val="1391721760"/>
        <crosses val="autoZero"/>
        <auto val="1"/>
        <lblAlgn val="ctr"/>
        <lblOffset val="100"/>
        <noMultiLvlLbl val="0"/>
      </catAx>
      <valAx>
        <axId val="1391721760"/>
        <scaling>
          <orientation val="minMax"/>
        </scaling>
        <delete val="0"/>
        <axPos val="r"/>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1391730080"/>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PIB</a:t>
            </a:r>
            <a:r>
              <a:rPr lang="es-MX" b="1" baseline="0"/>
              <a:t xml:space="preserve"> por actividad económica, cifras desestacionalizadas</a:t>
            </a:r>
            <a:endParaRPr lang="es-MX"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 Sectorial'!$C$9</f>
              <strCache>
                <ptCount val="1"/>
                <pt idx="0">
                  <v>Primarias</v>
                </pt>
              </strCache>
            </strRef>
          </tx>
          <spPr>
            <a:solidFill xmlns:a="http://schemas.openxmlformats.org/drawingml/2006/main">
              <a:srgbClr val="002F2A"/>
            </a:solidFill>
            <a:ln xmlns:a="http://schemas.openxmlformats.org/drawingml/2006/mai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Sectorial'!$C$10:$C$22</f>
              <numCache>
                <formatCode>_-"$"* #,##0_-;\-"$"* #,##0_-;_-"$"* "-"??_-;_-@_-</formatCode>
                <ptCount val="13"/>
                <pt idx="0">
                  <v>835925.6</v>
                </pt>
                <pt idx="1">
                  <v>836799.6</v>
                </pt>
                <pt idx="2">
                  <v>819095.7</v>
                </pt>
                <pt idx="3">
                  <v>831686.6</v>
                </pt>
                <pt idx="4">
                  <v>827043</v>
                </pt>
                <pt idx="5">
                  <v>842252.6</v>
                </pt>
                <pt idx="6">
                  <v>871472.5</v>
                </pt>
                <pt idx="7">
                  <v>813692.8</v>
                </pt>
                <pt idx="8">
                  <v>854504.32127079</v>
                </pt>
                <pt idx="9">
                  <v>836772.665548799</v>
                </pt>
                <pt idx="10">
                  <v>859287.643962977</v>
                </pt>
                <pt idx="11">
                  <v>871755.018658648</v>
                </pt>
                <pt idx="12">
                  <v>856921.087012258</v>
                </pt>
              </numCache>
            </numRef>
          </val>
        </ser>
        <ser>
          <idx val="1"/>
          <order val="1"/>
          <tx>
            <strRef>
              <f>'PIB Sectorial'!$D$9</f>
              <strCache>
                <ptCount val="1"/>
                <pt idx="0">
                  <v>Secundarias</v>
                </pt>
              </strCache>
            </strRef>
          </tx>
          <spPr>
            <a:solidFill xmlns:a="http://schemas.openxmlformats.org/drawingml/2006/main">
              <a:srgbClr val="1E5B4F"/>
            </a:solidFill>
            <a:ln xmlns:a="http://schemas.openxmlformats.org/drawingml/2006/mai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Sectorial'!$D$10:$D$22</f>
              <numCache>
                <formatCode>_-"$"* #,##0_-;\-"$"* #,##0_-;_-"$"* "-"??_-;_-@_-</formatCode>
                <ptCount val="13"/>
                <pt idx="0">
                  <v>7884149.8</v>
                </pt>
                <pt idx="1">
                  <v>7943263.3</v>
                </pt>
                <pt idx="2">
                  <v>8016288.3</v>
                </pt>
                <pt idx="3">
                  <v>8010952.1</v>
                </pt>
                <pt idx="4">
                  <v>7940140.6</v>
                </pt>
                <pt idx="5">
                  <v>7876382</v>
                </pt>
                <pt idx="6">
                  <v>7979123.7</v>
                </pt>
                <pt idx="7">
                  <v>7807342.1</v>
                </pt>
                <pt idx="8">
                  <v>7833621.03455699</v>
                </pt>
                <pt idx="9">
                  <v>7849205.98397336</v>
                </pt>
                <pt idx="10">
                  <v>7780913.07920474</v>
                </pt>
                <pt idx="11">
                  <v>7829888.17418644</v>
                </pt>
                <pt idx="12">
                  <v>7750175.3189237</v>
                </pt>
              </numCache>
            </numRef>
          </val>
        </ser>
        <ser>
          <idx val="2"/>
          <order val="2"/>
          <tx>
            <strRef>
              <f>'PIB Sectorial'!$E$9</f>
              <strCache>
                <ptCount val="1"/>
                <pt idx="0">
                  <v>Terciarias</v>
                </pt>
              </strCache>
            </strRef>
          </tx>
          <spPr>
            <a:solidFill xmlns:a="http://schemas.openxmlformats.org/drawingml/2006/main">
              <a:srgbClr val="9C2348"/>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Sectorial'!$E$10:$E$22</f>
              <numCache>
                <formatCode>_-"$"* #,##0_-;\-"$"* #,##0_-;_-"$"* "-"??_-;_-@_-</formatCode>
                <ptCount val="13"/>
                <pt idx="0">
                  <v>14688940.9</v>
                </pt>
                <pt idx="1">
                  <v>14820043.5</v>
                </pt>
                <pt idx="2">
                  <v>14946803</v>
                </pt>
                <pt idx="3">
                  <v>14960367.9</v>
                </pt>
                <pt idx="4">
                  <v>15131051.2</v>
                </pt>
                <pt idx="5">
                  <v>15155060</v>
                </pt>
                <pt idx="6">
                  <v>15281727.3</v>
                </pt>
                <pt idx="7">
                  <v>15253152.9</v>
                </pt>
                <pt idx="8">
                  <v>15316101.403228</v>
                </pt>
                <pt idx="9">
                  <v>15394411.489658</v>
                </pt>
                <pt idx="10">
                  <v>15435842.6920738</v>
                </pt>
                <pt idx="11">
                  <v>15548365.8219927</v>
                </pt>
                <pt idx="12">
                  <v>15490105.2001774</v>
                </pt>
              </numCache>
            </numRef>
          </val>
        </ser>
        <dLbls>
          <showLegendKey val="0"/>
          <showVal val="0"/>
          <showCatName val="0"/>
          <showSerName val="0"/>
          <showPercent val="0"/>
          <showBubbleSize val="0"/>
        </dLbls>
        <gapWidth val="100"/>
        <axId val="399461983"/>
        <axId val="399450751"/>
      </barChart>
      <lineChart>
        <grouping val="standard"/>
        <varyColors val="0"/>
        <ser>
          <idx val="3"/>
          <order val="3"/>
          <tx>
            <strRef>
              <f>'PIB Sectorial'!$F$9</f>
              <strCache>
                <ptCount val="1"/>
                <pt idx="0">
                  <v>Var. Trim. Terc.</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ysClr val="windowText" lastClr="000000"/>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'PIB Sectorial'!$B$18:$B$22</f>
              <strCache>
                <ptCount val="5"/>
                <pt idx="0">
                  <v>1T-25 P</v>
                </pt>
                <pt idx="1">
                  <v>2T-25 P</v>
                </pt>
                <pt idx="2">
                  <v>3T-25 P</v>
                </pt>
                <pt idx="3">
                  <v>4T-25 P</v>
                </pt>
                <pt idx="4">
                  <v>1T-26 P</v>
                </pt>
              </strCache>
            </strRef>
          </cat>
          <val>
            <numRef>
              <f>'PIB Sectorial'!$F$10:$F$22</f>
              <numCache>
                <formatCode>0.0%</formatCode>
                <ptCount val="13"/>
                <pt idx="0">
                  <v>0.006</v>
                </pt>
                <pt idx="1">
                  <v>0.008</v>
                </pt>
                <pt idx="2">
                  <v>0.008</v>
                </pt>
                <pt idx="3">
                  <v>0</v>
                </pt>
                <pt idx="4">
                  <v>0.006</v>
                </pt>
                <pt idx="5">
                  <v>0</v>
                </pt>
                <pt idx="6">
                  <v>0.011</v>
                </pt>
                <pt idx="7">
                  <v>-0.011</v>
                </pt>
                <pt idx="8">
                  <v>0.006</v>
                </pt>
                <pt idx="9">
                  <v>0.003</v>
                </pt>
                <pt idx="10">
                  <v>-0.001</v>
                </pt>
                <pt idx="11">
                  <v>0.006999999999999999</v>
                </pt>
                <pt idx="12">
                  <v>-0.006</v>
                </pt>
              </numCache>
            </numRef>
          </val>
          <smooth val="0"/>
        </ser>
        <dLbls>
          <showLegendKey val="0"/>
          <showVal val="0"/>
          <showCatName val="0"/>
          <showSerName val="0"/>
          <showPercent val="0"/>
          <showBubbleSize val="0"/>
        </dLbls>
        <marker val="1"/>
        <smooth val="0"/>
        <axId val="537400271"/>
        <axId val="537404015"/>
      </lineChart>
      <catAx>
        <axId val="399461983"/>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50751"/>
        <crosses val="autoZero"/>
        <auto val="1"/>
        <lblAlgn val="ctr"/>
        <lblOffset val="100"/>
        <noMultiLvlLbl val="0"/>
      </catAx>
      <valAx>
        <axId val="399450751"/>
        <scaling>
          <orientation val="minMax"/>
          <max val="25000000"/>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Millones de pesos a precios de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61983"/>
        <crosses val="autoZero"/>
        <crossBetween val="between"/>
      </valAx>
      <catAx>
        <axId val="537400271"/>
        <scaling>
          <orientation val="minMax"/>
        </scaling>
        <delete val="1"/>
        <axPos val="b"/>
        <numFmt formatCode="General" sourceLinked="1"/>
        <majorTickMark val="out"/>
        <minorTickMark val="none"/>
        <tickLblPos val="nextTo"/>
        <crossAx val="537404015"/>
        <crosses val="autoZero"/>
        <auto val="1"/>
        <lblAlgn val="ctr"/>
        <lblOffset val="100"/>
        <noMultiLvlLbl val="0"/>
      </catAx>
      <valAx>
        <axId val="537404015"/>
        <scaling>
          <orientation val="minMax"/>
        </scaling>
        <delete val="0"/>
        <axPos val="r"/>
        <numFmt formatCode="0.0%" sourceLinked="1"/>
        <majorTickMark val="out"/>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537400271"/>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3.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xmlns:a="http://schemas.openxmlformats.org/drawingml/2006/main" w="38100" cap="rnd">
              <a:solidFill>
                <a:srgbClr val="1E5B4F"/>
              </a:solidFill>
              <a:prstDash val="solid"/>
              <a:round/>
            </a:ln>
          </spPr>
          <marker>
            <symbol val="circle"/>
            <size val="5"/>
            <spPr>
              <a:solidFill xmlns:a="http://schemas.openxmlformats.org/drawingml/2006/main">
                <a:srgbClr val="1E5B4F"/>
              </a:solidFill>
              <a:ln xmlns:a="http://schemas.openxmlformats.org/drawingml/2006/main" w="19050">
                <a:solidFill>
                  <a:srgbClr val="1E5B4F"/>
                </a:solidFill>
                <a:prstDash val="solid"/>
              </a:ln>
            </spPr>
          </marker>
          <dLbls>
            <dLbl>
              <idx val="7"/>
            </dLbl>
            <dLbl>
              <idx val="8"/>
              <dLblPos val="r"/>
              <showLegendKey val="0"/>
              <showVal val="1"/>
              <showCatName val="0"/>
              <showSerName val="0"/>
              <showPercent val="0"/>
              <showBubbleSize val="0"/>
            </dLbl>
            <dLbl>
              <idx val="11"/>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xmlns:a="http://schemas.openxmlformats.org/drawingml/2006/main" w="28575" cap="rnd">
              <a:solidFill>
                <a:srgbClr val="A6802D"/>
              </a:solidFill>
              <a:prstDash val="solid"/>
              <a:round/>
            </a:ln>
          </spPr>
          <marker>
            <symbol val="none"/>
            <spPr>
              <a:ln xmlns:a="http://schemas.openxmlformats.org/drawingml/2006/main">
                <a:prstDash val="solid"/>
              </a:ln>
            </spPr>
          </marker>
          <dLbls>
            <dLbl>
              <idx val="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3"/>
            </dLbl>
            <dLbl>
              <idx val="11"/>
              <dLblPos val="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4.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xmlns:a="http://schemas.openxmlformats.org/drawingml/2006/main">
              <a:srgbClr val="1E5B4F"/>
            </a:solidFill>
            <a:ln xmlns:a="http://schemas.openxmlformats.org/drawingml/2006/main">
              <a:noFill/>
              <a:prstDash val="solid"/>
            </a:ln>
          </spPr>
          <invertIfNegative val="0"/>
          <dPt>
            <idx val="4"/>
            <invertIfNegative val="0"/>
            <bubble3D val="0"/>
            <spPr>
              <a:solidFill xmlns:a="http://schemas.openxmlformats.org/drawingml/2006/main">
                <a:srgbClr val="9C2348"/>
              </a:solidFill>
              <a:ln xmlns:a="http://schemas.openxmlformats.org/drawingml/2006/main">
                <a:noFill/>
                <a:prstDash val="solid"/>
              </a:ln>
            </spPr>
          </dPt>
          <dLbls>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2"/>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6576" tIns="18288" rIns="36576" bIns="18288"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5.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xmlns:a="http://schemas.openxmlformats.org/drawingml/2006/main" prst="pct20">
              <a:fgClr>
                <a:srgbClr val="1E5B4F"/>
              </a:fgClr>
              <a:bgClr>
                <a:schemeClr val="bg1"/>
              </a:bgClr>
            </a:pattFill>
            <a:ln xmlns:a="http://schemas.openxmlformats.org/drawingml/2006/main" w="38100">
              <a:solidFill>
                <a:srgbClr val="1E5B4F"/>
              </a:solidFill>
              <a:prstDash val="solid"/>
            </a:ln>
          </spP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6.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xmlns:a="http://schemas.openxmlformats.org/drawingml/2006/main">
              <a:srgbClr val="002F2A"/>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xmlns:a="http://schemas.openxmlformats.org/drawingml/2006/main">
              <a:srgbClr val="1E5B4F"/>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xmlns:a="http://schemas.openxmlformats.org/drawingml/2006/main">
              <a:srgbClr val="9C2348"/>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7.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xmlns:a="http://schemas.openxmlformats.org/drawingml/2006/main" w="28575" cap="rnd">
              <a:solidFill>
                <a:srgbClr val="0070C0"/>
              </a:solidFill>
              <a:prstDash val="solid"/>
              <a:round/>
            </a:ln>
          </spPr>
          <marker>
            <symbol val="none"/>
            <spPr>
              <a:ln xmlns:a="http://schemas.openxmlformats.org/drawingml/2006/mai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8.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9"/>
            </dLbl>
            <dLbl>
              <idx val="1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xmlns:a="http://schemas.openxmlformats.org/drawingml/2006/main" w="28575" cap="rnd">
              <a:solidFill>
                <a:srgbClr val="0070C0"/>
              </a:solidFill>
              <a:prstDash val="solid"/>
              <a:round/>
            </a:ln>
          </spPr>
          <marker>
            <symbol val="circle"/>
            <size val="5"/>
            <spPr>
              <a:solidFill xmlns:a="http://schemas.openxmlformats.org/drawingml/2006/main">
                <a:srgbClr val="0070C0"/>
              </a:solidFill>
              <a:ln xmlns:a="http://schemas.openxmlformats.org/drawingml/2006/main" w="9525">
                <a:solidFill>
                  <a:srgbClr val="0070C0"/>
                </a:solidFill>
                <a:prstDash val="solid"/>
              </a:ln>
            </spPr>
          </marker>
          <dLbls>
            <dLbl>
              <idx val="0"/>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s>
</file>

<file path=xl/drawings/_rels/drawing6.xml.rels><Relationships xmlns="http://schemas.openxmlformats.org/package/2006/relationships"><Relationship Type="http://schemas.openxmlformats.org/officeDocument/2006/relationships/chart" Target="/xl/charts/chart6.xml" Id="rId1"/></Relationships>
</file>

<file path=xl/drawings/_rels/drawing7.xml.rels><Relationships xmlns="http://schemas.openxmlformats.org/package/2006/relationships"><Relationship Type="http://schemas.openxmlformats.org/officeDocument/2006/relationships/chart" Target="/xl/charts/chart7.xml" Id="rId1"/></Relationships>
</file>

<file path=xl/drawings/_rels/drawing8.xml.rels><Relationships xmlns="http://schemas.openxmlformats.org/package/2006/relationships"><Relationship Type="http://schemas.openxmlformats.org/officeDocument/2006/relationships/chart" Target="/xl/charts/chart8.xml" Id="rId1"/></Relationships>
</file>

<file path=xl/drawings/drawing1.xml><?xml version="1.0" encoding="utf-8"?>
<wsDr xmlns="http://schemas.openxmlformats.org/drawingml/2006/spreadsheetDrawing">
  <twoCellAnchor>
    <from>
      <col>5</col>
      <colOff>19049</colOff>
      <row>7</row>
      <rowOff>247649</rowOff>
    </from>
    <to>
      <col>16</col>
      <colOff>9524</colOff>
      <row>33</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from>
      <col>7</col>
      <colOff>9524</colOff>
      <row>8</row>
      <rowOff>9525</rowOff>
    </from>
    <to>
      <col>20</col>
      <colOff>609600</colOff>
      <row>34</row>
      <rowOff>142875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3.xml><?xml version="1.0" encoding="utf-8"?>
<wsDr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4.xml><?xml version="1.0" encoding="utf-8"?>
<wsDr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5.xml><?xml version="1.0" encoding="utf-8"?>
<wsDr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6.xml><?xml version="1.0" encoding="utf-8"?>
<wsDr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7.xml><?xml version="1.0" encoding="utf-8"?>
<wsDr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8.xml><?xml version="1.0" encoding="utf-8"?>
<wsDr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s>
</file>

<file path=xl/worksheets/_rels/sheet8.xml.rels><Relationships xmlns="http://schemas.openxmlformats.org/package/2006/relationships"><Relationship Type="http://schemas.openxmlformats.org/officeDocument/2006/relationships/drawing" Target="/xl/drawings/drawing7.xml" Id="rId1"/></Relationships>
</file>

<file path=xl/worksheets/_rels/sheet9.xml.rels><Relationships xmlns="http://schemas.openxmlformats.org/package/2006/relationships"><Relationship Type="http://schemas.openxmlformats.org/officeDocument/2006/relationships/drawing" Target="/xl/drawings/drawing8.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sheetPr>
  <dimension ref="A1:G23"/>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11/08/2026 03:57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Producto Interno Bruto</t>
        </is>
      </c>
      <c r="B5" s="64" t="inlineStr">
        <is>
          <t>INEGI</t>
        </is>
      </c>
      <c r="C5" s="64" t="inlineStr">
        <is>
          <t>Trimestral</t>
        </is>
      </c>
      <c r="D5" s="64" t="inlineStr">
        <is>
          <t>1T-26 P</t>
        </is>
      </c>
      <c r="E5" s="64" t="inlineStr">
        <is>
          <t>24.97 billones de pesos de 2018</t>
        </is>
      </c>
      <c r="F5" s="64" t="inlineStr">
        <is>
          <t>+0.4%</t>
        </is>
      </c>
      <c r="G5" s="64" t="inlineStr">
        <is>
          <t>Millones de pesos (a precios de 2018)</t>
        </is>
      </c>
    </row>
    <row r="6">
      <c r="A6" s="65" t="inlineStr">
        <is>
          <t>Producto Interno Bruto por sector de actividad</t>
        </is>
      </c>
      <c r="B6" s="65" t="inlineStr">
        <is>
          <t>INEGI</t>
        </is>
      </c>
      <c r="C6" s="65" t="inlineStr">
        <is>
          <t>Trimestral</t>
        </is>
      </c>
      <c r="D6" s="65" t="inlineStr">
        <is>
          <t>1T-26 P</t>
        </is>
      </c>
      <c r="E6" s="65" t="inlineStr">
        <is>
          <t>23,553,779</t>
        </is>
      </c>
      <c r="F6" s="65" t="inlineStr">
        <is>
          <t>-0.4%</t>
        </is>
      </c>
      <c r="G6" s="65" t="inlineStr">
        <is>
          <t>Millones de pesos (a precios de 2018)</t>
        </is>
      </c>
    </row>
    <row r="7">
      <c r="A7" s="64" t="inlineStr">
        <is>
          <t>Indicador Global de la Actividad Económica</t>
        </is>
      </c>
      <c r="B7" s="64" t="inlineStr">
        <is>
          <t>INEGI</t>
        </is>
      </c>
      <c r="C7" s="64" t="inlineStr">
        <is>
          <t>Mensual</t>
        </is>
      </c>
      <c r="D7" s="64" t="inlineStr">
        <is>
          <t>May 26</t>
        </is>
      </c>
      <c r="E7" s="64" t="inlineStr">
        <is>
          <t>108.6</t>
        </is>
      </c>
      <c r="F7" s="64" t="inlineStr">
        <is>
          <t>-0.3%</t>
        </is>
      </c>
      <c r="G7" s="64" t="inlineStr">
        <is>
          <t>Índice base 2018=100</t>
        </is>
      </c>
    </row>
    <row r="8">
      <c r="A8" s="65" t="inlineStr">
        <is>
          <t>Indicador Mensual de la Actividad Industrial</t>
        </is>
      </c>
      <c r="B8" s="65" t="inlineStr">
        <is>
          <t>INEGI</t>
        </is>
      </c>
      <c r="C8" s="65" t="inlineStr">
        <is>
          <t>Mensual</t>
        </is>
      </c>
      <c r="D8" s="65" t="inlineStr">
        <is>
          <t>May 26</t>
        </is>
      </c>
      <c r="E8" s="65" t="inlineStr">
        <is>
          <t>101.6</t>
        </is>
      </c>
      <c r="F8" s="65" t="inlineStr">
        <is>
          <t>-0.8%</t>
        </is>
      </c>
      <c r="G8" s="65" t="inlineStr">
        <is>
          <t>Índice base 2018=100</t>
        </is>
      </c>
    </row>
    <row r="9">
      <c r="A9" s="64" t="inlineStr">
        <is>
          <t>Balanza Comercial de Mercancías de México</t>
        </is>
      </c>
      <c r="B9" s="64" t="inlineStr">
        <is>
          <t>INEGI</t>
        </is>
      </c>
      <c r="C9" s="64" t="inlineStr">
        <is>
          <t>Mensual</t>
        </is>
      </c>
      <c r="D9" s="64" t="inlineStr">
        <is>
          <t>Jun 26</t>
        </is>
      </c>
      <c r="E9" s="64" t="inlineStr">
        <is>
          <t>4,090</t>
        </is>
      </c>
      <c r="F9" s="64" t="inlineStr">
        <is>
          <t>+1,831 mdd</t>
        </is>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inlineStr">
        <is>
          <t>2.9%</t>
        </is>
      </c>
      <c r="F10" s="65" t="inlineStr">
        <is>
          <t>+0.1 pp</t>
        </is>
      </c>
      <c r="G10" s="65" t="inlineStr">
        <is>
          <t>Porcentaje de la PEA</t>
        </is>
      </c>
    </row>
    <row r="11">
      <c r="A11" s="64" t="inlineStr">
        <is>
          <t>Índice de Precios al Consumidor</t>
        </is>
      </c>
      <c r="B11" s="64" t="inlineStr">
        <is>
          <t>INEGI</t>
        </is>
      </c>
      <c r="C11" s="64" t="inlineStr">
        <is>
          <t>Mensual</t>
        </is>
      </c>
      <c r="D11" s="64" t="inlineStr">
        <is>
          <t>Jul 26</t>
        </is>
      </c>
      <c r="E11" s="64" t="inlineStr">
        <is>
          <t>3.1%</t>
        </is>
      </c>
      <c r="F11" s="64" t="inlineStr">
        <is>
          <t>-0.2 puntos porcentuales</t>
        </is>
      </c>
      <c r="G11" s="64" t="inlineStr">
        <is>
          <t>Variación anual (%)</t>
        </is>
      </c>
    </row>
    <row r="12">
      <c r="A12" s="65" t="inlineStr">
        <is>
          <t>Indicador mensual del consumo privado</t>
        </is>
      </c>
      <c r="B12" s="65" t="inlineStr">
        <is>
          <t>INEGI</t>
        </is>
      </c>
      <c r="C12" s="65" t="inlineStr">
        <is>
          <t>Mensual</t>
        </is>
      </c>
      <c r="D12" s="65" t="inlineStr">
        <is>
          <t>May 26</t>
        </is>
      </c>
      <c r="E12" s="65" t="inlineStr">
        <is>
          <t>114.0</t>
        </is>
      </c>
      <c r="F12" s="65" t="inlineStr">
        <is>
          <t>+0.1%</t>
        </is>
      </c>
      <c r="G12" s="65" t="inlineStr">
        <is>
          <t>Índice base 2018=100</t>
        </is>
      </c>
    </row>
    <row r="13">
      <c r="A13" s="64" t="inlineStr">
        <is>
          <t>Indicador Mensual de la Formación Bruta de Capital Fijo</t>
        </is>
      </c>
      <c r="B13" s="64" t="inlineStr">
        <is>
          <t>INEGI</t>
        </is>
      </c>
      <c r="C13" s="64" t="inlineStr">
        <is>
          <t>Mensual</t>
        </is>
      </c>
      <c r="D13" s="64" t="inlineStr">
        <is>
          <t>May 26</t>
        </is>
      </c>
      <c r="E13" s="64" t="inlineStr">
        <is>
          <t>107.1</t>
        </is>
      </c>
      <c r="F13" s="64" t="inlineStr">
        <is>
          <t>-0.4%</t>
        </is>
      </c>
      <c r="G13" s="64" t="inlineStr">
        <is>
          <t>Índice base 2018=100</t>
        </is>
      </c>
    </row>
    <row r="14">
      <c r="A14" s="65" t="inlineStr">
        <is>
          <t>Indicador Oportuno de la Actividad Económica</t>
        </is>
      </c>
      <c r="B14" s="65" t="inlineStr">
        <is>
          <t>INEGI</t>
        </is>
      </c>
      <c r="C14" s="65" t="inlineStr">
        <is>
          <t>Mensual</t>
        </is>
      </c>
      <c r="D14" s="65" t="inlineStr">
        <is>
          <t>Jun 26</t>
        </is>
      </c>
      <c r="E14" s="65" t="inlineStr">
        <is>
          <t>0.2%</t>
        </is>
      </c>
      <c r="F14" s="65" t="inlineStr">
        <is>
          <t>+0.2%</t>
        </is>
      </c>
      <c r="G14" s="65" t="inlineStr">
        <is>
          <t>Variación mensual estimada (%)</t>
        </is>
      </c>
    </row>
    <row r="15">
      <c r="A15" s="64" t="inlineStr">
        <is>
          <t>Encuesta Mensual de la Industria Manufacturera</t>
        </is>
      </c>
      <c r="B15" s="64" t="inlineStr">
        <is>
          <t>INEGI</t>
        </is>
      </c>
      <c r="C15" s="64" t="inlineStr">
        <is>
          <t>Mensual</t>
        </is>
      </c>
      <c r="D15" s="64" t="inlineStr">
        <is>
          <t>May 26</t>
        </is>
      </c>
      <c r="E15" s="64" t="inlineStr">
        <is>
          <t>110.4</t>
        </is>
      </c>
      <c r="F15" s="64" t="inlineStr">
        <is>
          <t>-0.7%</t>
        </is>
      </c>
      <c r="G15" s="64" t="inlineStr">
        <is>
          <t>Índice base 2018=100</t>
        </is>
      </c>
    </row>
    <row r="16">
      <c r="A16" s="65" t="inlineStr">
        <is>
          <t>Inversión Extranjera Directa (IED)</t>
        </is>
      </c>
      <c r="B16" s="65" t="inlineStr">
        <is>
          <t>Registro Nacional de Inversiones Extranjeras (RNIE). Secretaría de Economía</t>
        </is>
      </c>
      <c r="C16" s="65" t="inlineStr">
        <is>
          <t>Trimestral</t>
        </is>
      </c>
      <c r="D16" s="65" t="inlineStr">
        <is>
          <t>1T-26</t>
        </is>
      </c>
      <c r="E16" s="65" t="inlineStr">
        <is>
          <t>23,591</t>
        </is>
      </c>
      <c r="F16" s="65" t="inlineStr">
        <is>
          <t>+10.4%</t>
        </is>
      </c>
      <c r="G16" s="65" t="inlineStr">
        <is>
          <t>Millones de dólares</t>
        </is>
      </c>
    </row>
    <row r="17">
      <c r="A17" s="64" t="inlineStr">
        <is>
          <t>Tipo de cambio FIX (pesos por dólar)</t>
        </is>
      </c>
      <c r="B17" s="64" t="inlineStr">
        <is>
          <t>Banco de México (SIE)</t>
        </is>
      </c>
      <c r="C17" s="64" t="inlineStr">
        <is>
          <t>Diaria-&gt;mensual</t>
        </is>
      </c>
      <c r="D17" s="64" t="inlineStr">
        <is>
          <t>Jul 26</t>
        </is>
      </c>
      <c r="E17" s="64" t="inlineStr">
        <is>
          <t>$17.33</t>
        </is>
      </c>
      <c r="F17" s="64" t="inlineStr">
        <is>
          <t>-0.8%</t>
        </is>
      </c>
      <c r="G17" s="64" t="inlineStr">
        <is>
          <t>Pesos por dólar</t>
        </is>
      </c>
    </row>
    <row r="18">
      <c r="A18" s="65" t="inlineStr">
        <is>
          <t>Tasa objetivo de Banco de México</t>
        </is>
      </c>
      <c r="B18" s="65" t="inlineStr">
        <is>
          <t>Banco de México (SIE)</t>
        </is>
      </c>
      <c r="C18" s="65" t="inlineStr">
        <is>
          <t>Diaria-&gt;mensual</t>
        </is>
      </c>
      <c r="D18" s="65" t="inlineStr">
        <is>
          <t>Jul 26</t>
        </is>
      </c>
      <c r="E18" s="65" t="inlineStr">
        <is>
          <t>6.5%</t>
        </is>
      </c>
      <c r="F18" s="65" t="inlineStr">
        <is>
          <t>+0.0 pp</t>
        </is>
      </c>
      <c r="G18" s="65" t="inlineStr">
        <is>
          <t>Porcentaje anual</t>
        </is>
      </c>
    </row>
    <row r="19">
      <c r="A19" s="64" t="inlineStr">
        <is>
          <t>Reservas internacionales</t>
        </is>
      </c>
      <c r="B19" s="64" t="inlineStr">
        <is>
          <t>Banco de México (SIE)</t>
        </is>
      </c>
      <c r="C19" s="64" t="inlineStr">
        <is>
          <t>Semanal-&gt;mensual</t>
        </is>
      </c>
      <c r="D19" s="64" t="inlineStr">
        <is>
          <t>Jul 26</t>
        </is>
      </c>
      <c r="E19" s="64" t="inlineStr">
        <is>
          <t>255,498</t>
        </is>
      </c>
      <c r="F19" s="64" t="inlineStr">
        <is>
          <t>+317 mdd</t>
        </is>
      </c>
      <c r="G19" s="64" t="inlineStr">
        <is>
          <t>Millones de dólares</t>
        </is>
      </c>
    </row>
    <row r="20">
      <c r="A20" s="65" t="inlineStr">
        <is>
          <t>Confianza empresarial (EMOE)</t>
        </is>
      </c>
      <c r="B20" s="65" t="inlineStr">
        <is>
          <t>INEGI</t>
        </is>
      </c>
      <c r="C20" s="65" t="inlineStr">
        <is>
          <t>Mensual</t>
        </is>
      </c>
      <c r="D20" s="65" t="inlineStr">
        <is>
          <t>Jul 26</t>
        </is>
      </c>
      <c r="E20" s="65" t="inlineStr">
        <is>
          <t>48.2</t>
        </is>
      </c>
      <c r="F20" s="65" t="inlineStr">
        <is>
          <t>+0.1</t>
        </is>
      </c>
      <c r="G20" s="65" t="inlineStr">
        <is>
          <t>Puntos</t>
        </is>
      </c>
    </row>
    <row r="22">
      <c r="A22"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3"/>
  </sheetData>
  <mergeCells count="1">
    <mergeCell ref="A22:G2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U34"/>
  <sheetViews>
    <sheetView topLeftCell="A7" workbookViewId="0">
      <selection activeCell="B34" sqref="B34"/>
    </sheetView>
  </sheetViews>
  <sheetFormatPr baseColWidth="10" defaultRowHeight="15"/>
  <cols>
    <col width="5.7109375" customWidth="1" min="1" max="1"/>
    <col width="15.7109375" customWidth="1" min="2" max="2"/>
    <col width="12.28515625" bestFit="1" customWidth="1" min="3" max="3"/>
    <col width="14" bestFit="1" customWidth="1" min="4" max="4"/>
    <col width="5.7109375" customWidth="1" min="5" max="5"/>
    <col width="12.28515625" bestFit="1" customWidth="1" min="6" max="21"/>
  </cols>
  <sheetData>
    <row r="2" ht="20.1" customHeight="1">
      <c r="B2" s="18" t="inlineStr">
        <is>
          <t xml:space="preserve">Nombre </t>
        </is>
      </c>
      <c r="C2" s="41" t="inlineStr">
        <is>
          <t>Producto Interno Bruto</t>
        </is>
      </c>
      <c r="D2" s="67" t="n"/>
      <c r="E2" s="67" t="n"/>
      <c r="F2" s="67" t="n"/>
      <c r="G2" s="67" t="n"/>
      <c r="H2" s="67" t="n"/>
      <c r="I2" s="67" t="n"/>
      <c r="J2" s="67" t="n"/>
      <c r="K2" s="67" t="n"/>
      <c r="L2" s="67" t="n"/>
      <c r="M2" s="67" t="n"/>
      <c r="N2" s="67" t="n"/>
      <c r="O2" s="67" t="n"/>
      <c r="P2" s="68" t="n"/>
    </row>
    <row r="3" ht="39.95" customHeight="1">
      <c r="B3" s="18" t="inlineStr">
        <is>
          <t>Descripción</t>
        </is>
      </c>
      <c r="C3" s="69" t="inlineStr">
        <is>
          <t>La suma de los valores de mercado de todos los servicios y bienes finales, producidos por los recursos de la economía que residen en el país. Es un concepto de valor agregado, por lo que se contabilizan los bienes finales que se producen para consumo y no los intermedios para el uso de otro bien final.</t>
        </is>
      </c>
      <c r="D3" s="67" t="n"/>
      <c r="E3" s="67" t="n"/>
      <c r="F3" s="67" t="n"/>
      <c r="G3" s="67" t="n"/>
      <c r="H3" s="67" t="n"/>
      <c r="I3" s="67" t="n"/>
      <c r="J3" s="67" t="n"/>
      <c r="K3" s="67" t="n"/>
      <c r="L3" s="67" t="n"/>
      <c r="M3" s="67" t="n"/>
      <c r="N3" s="67" t="n"/>
      <c r="O3" s="67" t="n"/>
      <c r="P3" s="68" t="n"/>
    </row>
    <row r="4" ht="20.1" customHeight="1">
      <c r="B4" s="18" t="inlineStr">
        <is>
          <t>Frecuencia</t>
        </is>
      </c>
      <c r="C4" s="41" t="inlineStr">
        <is>
          <t>Trimestral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https://www.inegi.org.mx/app/indicadores/?tm=3#D733671_600917</t>
        </is>
      </c>
      <c r="D7" s="70" t="n"/>
      <c r="E7" s="70" t="n"/>
      <c r="F7" s="70" t="n"/>
      <c r="G7" s="70" t="n"/>
      <c r="H7" s="70" t="n"/>
      <c r="I7" s="70" t="n"/>
      <c r="J7" s="70" t="n"/>
      <c r="K7" s="70" t="n"/>
      <c r="L7" s="70" t="n"/>
      <c r="M7" s="70" t="n"/>
      <c r="N7" s="70" t="n"/>
      <c r="O7" s="70" t="n"/>
      <c r="P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row>
    <row r="9" ht="19.5" customHeight="1">
      <c r="B9" s="10" t="inlineStr">
        <is>
          <t>Periodo</t>
        </is>
      </c>
      <c r="C9" s="8" t="inlineStr">
        <is>
          <t>PIB</t>
        </is>
      </c>
      <c r="D9" s="8" t="inlineStr">
        <is>
          <t>Var. Anual (%)</t>
        </is>
      </c>
      <c r="E9" s="6" t="n"/>
      <c r="F9" s="6" t="n"/>
      <c r="G9" s="6" t="n"/>
      <c r="H9" s="6" t="n"/>
      <c r="I9" s="6" t="n"/>
      <c r="J9" s="6" t="n"/>
      <c r="K9" s="6" t="n"/>
      <c r="L9" s="6" t="n"/>
      <c r="M9" s="6" t="n"/>
      <c r="N9" s="6" t="n"/>
      <c r="O9" s="6" t="n"/>
      <c r="P9" s="6" t="n"/>
      <c r="Q9" s="6" t="n"/>
      <c r="R9" s="6" t="n"/>
      <c r="S9" s="6" t="n"/>
      <c r="T9" s="6" t="n"/>
      <c r="U9" s="6" t="n"/>
    </row>
    <row r="10" ht="19.5" customHeight="1">
      <c r="B10" s="11" t="inlineStr">
        <is>
          <t>1T-21</t>
        </is>
      </c>
      <c r="C10" s="71" t="n">
        <v>22841359.7</v>
      </c>
      <c r="D10" s="37">
        <f>1.9/100</f>
        <v/>
      </c>
      <c r="E10" s="6" t="n"/>
      <c r="F10" s="6" t="n"/>
      <c r="G10" s="6" t="n"/>
      <c r="H10" s="6" t="n"/>
      <c r="I10" s="6" t="n"/>
      <c r="J10" s="6" t="n"/>
      <c r="K10" s="6" t="n"/>
      <c r="L10" s="6" t="n"/>
      <c r="M10" s="6" t="n"/>
      <c r="N10" s="6" t="n"/>
      <c r="O10" s="6" t="n"/>
      <c r="P10" s="6" t="n"/>
      <c r="Q10" s="6" t="n"/>
      <c r="R10" s="6" t="n"/>
      <c r="S10" s="6" t="n"/>
      <c r="T10" s="6" t="n"/>
      <c r="U10" s="6" t="n"/>
    </row>
    <row r="11" ht="19.5" customHeight="1">
      <c r="B11" s="11" t="inlineStr">
        <is>
          <t>2T-21</t>
        </is>
      </c>
      <c r="C11" s="71" t="n">
        <v>23623455.1</v>
      </c>
      <c r="D11" s="37">
        <f>5.1/100</f>
        <v/>
      </c>
      <c r="E11" s="6" t="n"/>
      <c r="F11" s="6" t="n"/>
      <c r="G11" s="6" t="n"/>
      <c r="H11" s="6" t="n"/>
      <c r="I11" s="6" t="n"/>
      <c r="J11" s="6" t="n"/>
      <c r="K11" s="6" t="n"/>
      <c r="L11" s="6" t="n"/>
      <c r="M11" s="6" t="n"/>
      <c r="N11" s="6" t="n"/>
      <c r="O11" s="6" t="n"/>
      <c r="P11" s="6" t="n"/>
      <c r="Q11" s="6" t="n"/>
      <c r="R11" s="6" t="n"/>
      <c r="S11" s="6" t="n"/>
      <c r="T11" s="6" t="n"/>
      <c r="U11" s="6" t="n"/>
    </row>
    <row r="12" ht="19.5" customHeight="1">
      <c r="B12" s="11" t="inlineStr">
        <is>
          <t>3T-21</t>
        </is>
      </c>
      <c r="C12" s="71" t="n">
        <v>23204796.8</v>
      </c>
      <c r="D12" s="37">
        <f>22.7/100</f>
        <v/>
      </c>
      <c r="E12" s="6" t="n"/>
      <c r="F12" s="6" t="n"/>
      <c r="G12" s="6" t="n"/>
      <c r="H12" s="6" t="n"/>
      <c r="I12" s="6" t="n"/>
      <c r="J12" s="6" t="n"/>
      <c r="K12" s="6" t="n"/>
      <c r="L12" s="6" t="n"/>
      <c r="M12" s="6" t="n"/>
      <c r="N12" s="6" t="n"/>
      <c r="O12" s="6" t="n"/>
      <c r="P12" s="6" t="n"/>
      <c r="Q12" s="6" t="n"/>
      <c r="R12" s="6" t="n"/>
      <c r="S12" s="6" t="n"/>
      <c r="T12" s="6" t="n"/>
      <c r="U12" s="6" t="n"/>
    </row>
    <row r="13" ht="19.5" customHeight="1">
      <c r="B13" s="11" t="inlineStr">
        <is>
          <t>4T-21</t>
        </is>
      </c>
      <c r="C13" s="71" t="n">
        <v>23949712.9</v>
      </c>
      <c r="D13" s="37">
        <f>-2.6/100</f>
        <v/>
      </c>
      <c r="E13" s="6" t="n"/>
      <c r="F13" s="6" t="n"/>
      <c r="G13" s="6" t="n"/>
      <c r="H13" s="6" t="n"/>
      <c r="I13" s="6" t="n"/>
      <c r="J13" s="6" t="n"/>
      <c r="K13" s="6" t="n"/>
      <c r="L13" s="6" t="n"/>
      <c r="M13" s="6" t="n"/>
      <c r="N13" s="6" t="n"/>
      <c r="O13" s="6" t="n"/>
      <c r="P13" s="6" t="n"/>
      <c r="Q13" s="6" t="n"/>
      <c r="R13" s="6" t="n"/>
      <c r="S13" s="6" t="n"/>
      <c r="T13" s="6" t="n"/>
      <c r="U13" s="6" t="n"/>
    </row>
    <row r="14" ht="19.5" customHeight="1">
      <c r="B14" s="11" t="inlineStr">
        <is>
          <t>1T-22</t>
        </is>
      </c>
      <c r="C14" s="71" t="n">
        <v>23440574.5</v>
      </c>
      <c r="D14" s="37">
        <f>C14/C10-1</f>
        <v/>
      </c>
      <c r="E14" s="6" t="n"/>
      <c r="F14" s="6" t="n"/>
      <c r="G14" s="6" t="n"/>
      <c r="H14" s="6" t="n"/>
      <c r="I14" s="6" t="n"/>
      <c r="J14" s="6" t="n"/>
      <c r="K14" s="6" t="n"/>
      <c r="L14" s="6" t="n"/>
      <c r="M14" s="6" t="n"/>
      <c r="N14" s="6" t="n"/>
      <c r="O14" s="6" t="n"/>
      <c r="P14" s="6" t="n"/>
      <c r="Q14" s="6" t="n"/>
      <c r="R14" s="6" t="n"/>
      <c r="S14" s="6" t="n"/>
      <c r="T14" s="6" t="n"/>
      <c r="U14" s="6" t="n"/>
    </row>
    <row r="15" ht="19.5" customHeight="1">
      <c r="B15" s="11" t="inlineStr">
        <is>
          <t>2T-22</t>
        </is>
      </c>
      <c r="C15" s="71" t="n">
        <v>24310024.3</v>
      </c>
      <c r="D15" s="37">
        <f>C15/C11-1</f>
        <v/>
      </c>
      <c r="E15" s="6" t="n"/>
      <c r="F15" s="6" t="n"/>
      <c r="G15" s="6" t="n"/>
      <c r="H15" s="6" t="n"/>
      <c r="I15" s="6" t="n"/>
      <c r="J15" s="6" t="n"/>
      <c r="K15" s="6" t="n"/>
      <c r="L15" s="6" t="n"/>
      <c r="M15" s="6" t="n"/>
      <c r="N15" s="6" t="n"/>
      <c r="O15" s="6" t="n"/>
      <c r="P15" s="6" t="n"/>
      <c r="Q15" s="6" t="n"/>
      <c r="R15" s="6" t="n"/>
      <c r="S15" s="6" t="n"/>
      <c r="T15" s="6" t="n"/>
      <c r="U15" s="6" t="n"/>
    </row>
    <row r="16" ht="19.5" customHeight="1">
      <c r="B16" s="11" t="inlineStr">
        <is>
          <t>3T-22</t>
        </is>
      </c>
      <c r="C16" s="71" t="n">
        <v>24289379.5</v>
      </c>
      <c r="D16" s="37">
        <f>C16/C12-1</f>
        <v/>
      </c>
      <c r="E16" s="6" t="n"/>
      <c r="F16" s="6" t="n"/>
      <c r="G16" s="6" t="n"/>
      <c r="H16" s="6" t="n"/>
      <c r="I16" s="6" t="n"/>
      <c r="J16" s="6" t="n"/>
      <c r="K16" s="6" t="n"/>
      <c r="L16" s="6" t="n"/>
      <c r="M16" s="6" t="n"/>
      <c r="N16" s="6" t="n"/>
      <c r="O16" s="6" t="n"/>
      <c r="P16" s="6" t="n"/>
      <c r="Q16" s="6" t="n"/>
      <c r="R16" s="6" t="n"/>
      <c r="S16" s="6" t="n"/>
      <c r="T16" s="6" t="n"/>
      <c r="U16" s="6" t="n"/>
    </row>
    <row r="17" ht="19.5" customHeight="1">
      <c r="B17" s="11" t="inlineStr">
        <is>
          <t>4T-22</t>
        </is>
      </c>
      <c r="C17" s="71" t="n">
        <v>25052395.8</v>
      </c>
      <c r="D17" s="37">
        <f>C17/C13-1</f>
        <v/>
      </c>
      <c r="E17" s="6" t="n"/>
      <c r="F17" s="6" t="n"/>
      <c r="G17" s="6" t="n"/>
      <c r="H17" s="6" t="n"/>
      <c r="I17" s="6" t="n"/>
      <c r="J17" s="6" t="n"/>
      <c r="K17" s="6" t="n"/>
      <c r="L17" s="6" t="n"/>
      <c r="M17" s="6" t="n"/>
      <c r="N17" s="6" t="n"/>
      <c r="O17" s="6" t="n"/>
      <c r="P17" s="6" t="n"/>
      <c r="Q17" s="6" t="n"/>
      <c r="R17" s="6" t="n"/>
      <c r="S17" s="6" t="n"/>
      <c r="T17" s="6" t="n"/>
      <c r="U17" s="6" t="n"/>
    </row>
    <row r="18" ht="19.5" customHeight="1">
      <c r="B18" s="11" t="inlineStr">
        <is>
          <t>1T-23 R</t>
        </is>
      </c>
      <c r="C18" s="71" t="n">
        <v>24330982.5</v>
      </c>
      <c r="D18" s="37">
        <f>C18/C14-1</f>
        <v/>
      </c>
      <c r="E18" s="6" t="n"/>
      <c r="F18" s="6" t="n"/>
      <c r="G18" s="6" t="n"/>
      <c r="H18" s="6" t="n"/>
      <c r="I18" s="6" t="n"/>
      <c r="J18" s="6" t="n"/>
      <c r="K18" s="6" t="n"/>
      <c r="L18" s="6" t="n"/>
      <c r="M18" s="6" t="n"/>
      <c r="N18" s="6" t="n"/>
      <c r="O18" s="6" t="n"/>
      <c r="P18" s="6" t="n"/>
      <c r="Q18" s="6" t="n"/>
      <c r="R18" s="6" t="n"/>
      <c r="S18" s="6" t="n"/>
      <c r="T18" s="6" t="n"/>
      <c r="U18" s="6" t="n"/>
    </row>
    <row r="19" ht="19.5" customHeight="1">
      <c r="B19" s="11" t="inlineStr">
        <is>
          <t>2T-23 R</t>
        </is>
      </c>
      <c r="C19" s="71" t="n">
        <v>25108268.2</v>
      </c>
      <c r="D19" s="37">
        <f>C19/C15-1</f>
        <v/>
      </c>
      <c r="E19" s="6" t="n"/>
      <c r="F19" s="6" t="n"/>
      <c r="G19" s="6" t="n"/>
      <c r="H19" s="6" t="n"/>
      <c r="I19" s="6" t="n"/>
      <c r="J19" s="6" t="n"/>
      <c r="K19" s="6" t="n"/>
      <c r="L19" s="6" t="n"/>
      <c r="M19" s="6" t="n"/>
      <c r="N19" s="6" t="n"/>
      <c r="O19" s="6" t="n"/>
      <c r="P19" s="6" t="n"/>
      <c r="Q19" s="6" t="n"/>
      <c r="R19" s="6" t="n"/>
      <c r="S19" s="6" t="n"/>
      <c r="T19" s="6" t="n"/>
      <c r="U19" s="6" t="n"/>
    </row>
    <row r="20" ht="19.5" customHeight="1">
      <c r="B20" s="11" t="inlineStr">
        <is>
          <t>3T-23 R</t>
        </is>
      </c>
      <c r="C20" s="71" t="n">
        <v>25094793.1</v>
      </c>
      <c r="D20" s="37">
        <f>C20/C16-1</f>
        <v/>
      </c>
      <c r="E20" s="6" t="n"/>
      <c r="F20" s="6" t="n"/>
      <c r="G20" s="6" t="n"/>
      <c r="H20" s="6" t="n"/>
      <c r="I20" s="6" t="n"/>
      <c r="J20" s="6" t="n"/>
      <c r="K20" s="6" t="n"/>
      <c r="L20" s="6" t="n"/>
      <c r="M20" s="6" t="n"/>
      <c r="N20" s="6" t="n"/>
      <c r="O20" s="6" t="n"/>
      <c r="P20" s="6" t="n"/>
      <c r="Q20" s="6" t="n"/>
      <c r="R20" s="6" t="n"/>
      <c r="S20" s="6" t="n"/>
      <c r="T20" s="6" t="n"/>
      <c r="U20" s="6" t="n"/>
    </row>
    <row r="21" ht="19.5" customHeight="1">
      <c r="B21" s="11" t="inlineStr">
        <is>
          <t>4T-23 R</t>
        </is>
      </c>
      <c r="C21" s="71" t="n">
        <v>25590082.6</v>
      </c>
      <c r="D21" s="37">
        <f>C21/C17-1</f>
        <v/>
      </c>
      <c r="E21" s="6" t="n"/>
      <c r="F21" s="6" t="n"/>
      <c r="G21" s="6" t="n"/>
      <c r="H21" s="6" t="n"/>
      <c r="I21" s="6" t="n"/>
      <c r="J21" s="6" t="n"/>
      <c r="K21" s="6" t="n"/>
      <c r="L21" s="6" t="n"/>
      <c r="M21" s="6" t="n"/>
      <c r="N21" s="6" t="n"/>
      <c r="O21" s="6" t="n"/>
      <c r="P21" s="6" t="n"/>
      <c r="Q21" s="6" t="n"/>
      <c r="R21" s="6" t="n"/>
      <c r="S21" s="6" t="n"/>
      <c r="T21" s="6" t="n"/>
      <c r="U21" s="6" t="n"/>
    </row>
    <row r="22" ht="19.5" customHeight="1">
      <c r="B22" s="11" t="inlineStr">
        <is>
          <t>1T-24 R</t>
        </is>
      </c>
      <c r="C22" s="71" t="n">
        <v>24761655.5</v>
      </c>
      <c r="D22" s="37">
        <f>C22/C18-1</f>
        <v/>
      </c>
      <c r="E22" s="6" t="n"/>
      <c r="F22" s="6" t="n"/>
      <c r="G22" s="6" t="n"/>
      <c r="H22" s="6" t="n"/>
      <c r="I22" s="6" t="n"/>
      <c r="J22" s="6" t="n"/>
      <c r="K22" s="6" t="n"/>
      <c r="L22" s="6" t="n"/>
      <c r="M22" s="6" t="n"/>
      <c r="N22" s="6" t="n"/>
      <c r="O22" s="6" t="n"/>
      <c r="P22" s="6" t="n"/>
      <c r="Q22" s="6" t="n"/>
      <c r="R22" s="6" t="n"/>
      <c r="S22" s="6" t="n"/>
      <c r="T22" s="6" t="n"/>
      <c r="U22" s="6" t="n"/>
    </row>
    <row r="23" ht="19.5" customHeight="1">
      <c r="B23" s="11" t="inlineStr">
        <is>
          <t>2T-24 R</t>
        </is>
      </c>
      <c r="C23" s="71" t="n">
        <v>25655479</v>
      </c>
      <c r="D23" s="37">
        <f>C23/C19-1</f>
        <v/>
      </c>
      <c r="E23" s="6" t="n"/>
      <c r="F23" s="6" t="n"/>
      <c r="G23" s="6" t="n"/>
      <c r="H23" s="6" t="n"/>
      <c r="I23" s="6" t="n"/>
      <c r="J23" s="6" t="n"/>
      <c r="K23" s="6" t="n"/>
      <c r="L23" s="6" t="n"/>
      <c r="M23" s="6" t="n"/>
      <c r="N23" s="6" t="n"/>
      <c r="O23" s="6" t="n"/>
      <c r="P23" s="6" t="n"/>
      <c r="Q23" s="6" t="n"/>
      <c r="R23" s="6" t="n"/>
      <c r="S23" s="6" t="n"/>
      <c r="T23" s="6" t="n"/>
      <c r="U23" s="6" t="n"/>
    </row>
    <row r="24" ht="19.5" customHeight="1">
      <c r="B24" s="11" t="inlineStr">
        <is>
          <t>3T-24 R</t>
        </is>
      </c>
      <c r="C24" s="71" t="n">
        <v>25475446.4</v>
      </c>
      <c r="D24" s="37">
        <f>C24/C20-1</f>
        <v/>
      </c>
      <c r="E24" s="6" t="n"/>
      <c r="F24" s="6" t="n"/>
      <c r="G24" s="6" t="n"/>
      <c r="H24" s="6" t="n"/>
      <c r="I24" s="6" t="n"/>
      <c r="J24" s="6" t="n"/>
      <c r="K24" s="6" t="n"/>
      <c r="L24" s="6" t="n"/>
      <c r="M24" s="6" t="n"/>
      <c r="N24" s="6" t="n"/>
      <c r="O24" s="6" t="n"/>
      <c r="P24" s="6" t="n"/>
      <c r="Q24" s="6" t="n"/>
      <c r="R24" s="6" t="n"/>
      <c r="S24" s="6" t="n"/>
      <c r="T24" s="6" t="n"/>
      <c r="U24" s="6" t="n"/>
    </row>
    <row r="25" ht="19.5" customHeight="1">
      <c r="B25" s="11" t="inlineStr">
        <is>
          <t>4T-24 R</t>
        </is>
      </c>
      <c r="C25" s="71" t="n">
        <v>25693293</v>
      </c>
      <c r="D25" s="37">
        <f>C25/C21-1</f>
        <v/>
      </c>
      <c r="E25" s="6" t="n"/>
      <c r="F25" s="6" t="n"/>
      <c r="G25" s="6" t="n"/>
      <c r="H25" s="6" t="n"/>
      <c r="I25" s="6" t="n"/>
      <c r="J25" s="6" t="n"/>
      <c r="K25" s="6" t="n"/>
      <c r="L25" s="6" t="n"/>
      <c r="M25" s="6" t="n"/>
      <c r="N25" s="6" t="n"/>
      <c r="O25" s="6" t="n"/>
      <c r="P25" s="6" t="n"/>
      <c r="Q25" s="6" t="n"/>
      <c r="R25" s="6" t="n"/>
      <c r="S25" s="6" t="n"/>
      <c r="T25" s="6" t="n"/>
      <c r="U25" s="6" t="n"/>
    </row>
    <row r="26" ht="19.5" customHeight="1">
      <c r="B26" s="11" t="inlineStr">
        <is>
          <t>1T-25 R</t>
        </is>
      </c>
      <c r="C26" s="71" t="n">
        <v>24913610.3</v>
      </c>
      <c r="D26" s="37">
        <f>C26/C22-1</f>
        <v/>
      </c>
      <c r="E26" s="6" t="n"/>
      <c r="F26" s="6" t="n"/>
      <c r="G26" s="6" t="n"/>
      <c r="H26" s="6" t="n"/>
      <c r="I26" s="6" t="n"/>
      <c r="J26" s="6" t="n"/>
      <c r="K26" s="6" t="n"/>
      <c r="L26" s="6" t="n"/>
      <c r="M26" s="6" t="n"/>
      <c r="N26" s="6" t="n"/>
      <c r="O26" s="6" t="n"/>
      <c r="P26" s="6" t="n"/>
      <c r="Q26" s="6" t="n"/>
      <c r="R26" s="6" t="n"/>
      <c r="S26" s="6" t="n"/>
      <c r="T26" s="6" t="n"/>
      <c r="U26" s="6" t="n"/>
    </row>
    <row r="27" ht="19.5" customHeight="1">
      <c r="B27" s="11" t="inlineStr">
        <is>
          <t>2T-25 R</t>
        </is>
      </c>
      <c r="C27" s="71" t="n">
        <v>25618678.8</v>
      </c>
      <c r="D27" s="37">
        <f>C27/C23-1</f>
        <v/>
      </c>
      <c r="E27" s="6" t="n"/>
      <c r="F27" s="6" t="n"/>
      <c r="G27" s="6" t="n"/>
      <c r="H27" s="6" t="n"/>
      <c r="I27" s="6" t="n"/>
      <c r="J27" s="6" t="n"/>
      <c r="K27" s="6" t="n"/>
      <c r="L27" s="6" t="n"/>
      <c r="M27" s="6" t="n"/>
      <c r="N27" s="6" t="n"/>
      <c r="O27" s="6" t="n"/>
      <c r="P27" s="6" t="n"/>
      <c r="Q27" s="6" t="n"/>
      <c r="R27" s="6" t="n"/>
      <c r="S27" s="6" t="n"/>
      <c r="T27" s="6" t="n"/>
      <c r="U27" s="6" t="n"/>
    </row>
    <row r="28" ht="19.5" customHeight="1">
      <c r="B28" s="11" t="inlineStr">
        <is>
          <t>3T-25 R</t>
        </is>
      </c>
      <c r="C28" s="71" t="n">
        <v>25422850.2</v>
      </c>
      <c r="D28" s="37">
        <f>C28/C24-1</f>
        <v/>
      </c>
      <c r="E28" s="6" t="n"/>
      <c r="F28" s="6" t="n"/>
      <c r="G28" s="6" t="n"/>
      <c r="H28" s="6" t="n"/>
      <c r="I28" s="6" t="n"/>
      <c r="J28" s="6" t="n"/>
      <c r="K28" s="6" t="n"/>
      <c r="L28" s="6" t="n"/>
      <c r="M28" s="6" t="n"/>
      <c r="N28" s="6" t="n"/>
      <c r="O28" s="6" t="n"/>
      <c r="P28" s="6" t="n"/>
      <c r="Q28" s="6" t="n"/>
      <c r="R28" s="6" t="n"/>
      <c r="S28" s="6" t="n"/>
      <c r="T28" s="6" t="n"/>
      <c r="U28" s="6" t="n"/>
    </row>
    <row r="29" ht="19.5" customHeight="1">
      <c r="B29" s="11" t="inlineStr">
        <is>
          <t>4T-25 R</t>
        </is>
      </c>
      <c r="C29" s="71" t="n">
        <v>26135644.7</v>
      </c>
      <c r="D29" s="37">
        <f>C29/C25-1</f>
        <v/>
      </c>
      <c r="E29" s="6" t="n"/>
      <c r="F29" s="6" t="n"/>
      <c r="G29" s="6" t="n"/>
      <c r="H29" s="6" t="n"/>
      <c r="I29" s="6" t="n"/>
      <c r="J29" s="6" t="n"/>
      <c r="K29" s="6" t="n"/>
      <c r="L29" s="6" t="n"/>
      <c r="M29" s="6" t="n"/>
      <c r="N29" s="6" t="n"/>
      <c r="O29" s="6" t="n"/>
      <c r="P29" s="6" t="n"/>
      <c r="Q29" s="6" t="n"/>
      <c r="R29" s="6" t="n"/>
      <c r="S29" s="6" t="n"/>
      <c r="T29" s="6" t="n"/>
      <c r="U29" s="6" t="n"/>
    </row>
    <row r="30" ht="19.5" customHeight="1">
      <c r="B30" s="11" t="inlineStr">
        <is>
          <t>1T-26 P</t>
        </is>
      </c>
      <c r="C30" s="71" t="n">
        <v>24973976.1</v>
      </c>
      <c r="D30" s="37">
        <f>C30/C26-1</f>
        <v/>
      </c>
      <c r="E30" s="6" t="n"/>
      <c r="F30" s="6" t="n"/>
      <c r="G30" s="6" t="n"/>
      <c r="H30" s="6" t="n"/>
      <c r="I30" s="6" t="n"/>
      <c r="J30" s="6" t="n"/>
      <c r="K30" s="6" t="n"/>
      <c r="L30" s="6" t="n"/>
      <c r="M30" s="6" t="n"/>
      <c r="N30" s="6" t="n"/>
      <c r="O30" s="6" t="n"/>
      <c r="P30" s="6" t="n"/>
      <c r="Q30" s="6" t="n"/>
      <c r="R30" s="6" t="n"/>
      <c r="S30" s="6" t="n"/>
      <c r="T30" s="6" t="n"/>
      <c r="U30" s="6" t="n"/>
    </row>
    <row r="31" ht="19.5" customHeight="1">
      <c r="B31" s="6" t="n"/>
      <c r="C31" s="6" t="n"/>
      <c r="D31" s="6" t="n"/>
      <c r="E31" s="6" t="n"/>
      <c r="F31" s="6" t="n"/>
      <c r="G31" s="6" t="n"/>
      <c r="H31" s="6" t="n"/>
      <c r="I31" s="6" t="n"/>
      <c r="J31" s="6" t="n"/>
      <c r="K31" s="6" t="n"/>
      <c r="L31" s="6" t="n"/>
      <c r="M31" s="6" t="n"/>
      <c r="N31" s="6" t="n"/>
      <c r="O31" s="6" t="n"/>
      <c r="P31" s="6" t="n"/>
      <c r="Q31" s="6" t="n"/>
      <c r="R31" s="6" t="n"/>
      <c r="S31" s="6" t="n"/>
      <c r="T31" s="6" t="n"/>
      <c r="U31" s="6" t="n"/>
    </row>
    <row r="32" ht="19.5" customHeight="1">
      <c r="B32" s="25" t="inlineStr">
        <is>
          <t>R = Cifras revisadas</t>
        </is>
      </c>
      <c r="C32" s="6" t="n"/>
      <c r="D32" s="6" t="n"/>
      <c r="E32" s="6" t="n"/>
      <c r="F32" s="6" t="n"/>
      <c r="G32" s="6" t="n"/>
      <c r="H32" s="6" t="n"/>
      <c r="I32" s="6" t="n"/>
      <c r="J32" s="6" t="n"/>
      <c r="K32" s="6" t="n"/>
      <c r="L32" s="6" t="n"/>
      <c r="M32" s="6" t="n"/>
      <c r="N32" s="6" t="n"/>
      <c r="O32" s="6" t="n"/>
      <c r="P32" s="6" t="n"/>
      <c r="Q32" s="6" t="n"/>
      <c r="R32" s="6" t="n"/>
      <c r="S32" s="6" t="n"/>
      <c r="T32" s="6" t="n"/>
      <c r="U32" s="6" t="n"/>
    </row>
    <row r="33" ht="19.5" customHeight="1">
      <c r="B33" s="25" t="inlineStr">
        <is>
          <t>P = Cifras preliminares</t>
        </is>
      </c>
      <c r="C33" s="6" t="n"/>
      <c r="D33" s="6" t="n"/>
      <c r="E33" s="6" t="n"/>
      <c r="F33" s="6" t="n"/>
      <c r="G33" s="6" t="n"/>
      <c r="H33" s="6" t="n"/>
      <c r="I33" s="6" t="n"/>
      <c r="J33" s="6" t="n"/>
      <c r="K33" s="6" t="n"/>
      <c r="L33" s="6" t="n"/>
      <c r="M33" s="6" t="n"/>
      <c r="N33" s="6" t="n"/>
      <c r="O33" s="6" t="n"/>
      <c r="P33" s="6" t="n"/>
      <c r="Q33" s="6" t="n"/>
      <c r="R33" s="6" t="n"/>
      <c r="S33" s="6" t="n"/>
      <c r="T33" s="6" t="n"/>
      <c r="U33" s="6" t="n"/>
    </row>
    <row r="34" ht="19.5" customHeight="1">
      <c r="B34" s="6" t="n"/>
      <c r="C34" s="6" t="n"/>
      <c r="D34" s="6" t="n"/>
      <c r="E34" s="6" t="n"/>
      <c r="F34" s="6" t="n"/>
      <c r="G34" s="6" t="n"/>
      <c r="H34" s="6" t="n"/>
      <c r="I34" s="6" t="n"/>
      <c r="J34" s="6" t="n"/>
      <c r="K34" s="6" t="n"/>
      <c r="L34" s="6" t="n"/>
      <c r="M34" s="6" t="n"/>
      <c r="N34" s="6" t="n"/>
      <c r="O34" s="6" t="n"/>
      <c r="P34" s="6" t="n"/>
      <c r="Q34" s="6" t="n"/>
      <c r="R34" s="6" t="n"/>
      <c r="S34" s="6" t="n"/>
      <c r="T34" s="6" t="n"/>
      <c r="U34" s="6" t="n"/>
    </row>
  </sheetData>
  <mergeCells count="6">
    <mergeCell ref="C3:P3"/>
    <mergeCell ref="C4:P4"/>
    <mergeCell ref="C6:P6"/>
    <mergeCell ref="C7:P7"/>
    <mergeCell ref="C2:P2"/>
    <mergeCell ref="C5:P5"/>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25"/>
  <sheetViews>
    <sheetView topLeftCell="C7" workbookViewId="0">
      <selection activeCell="F28" sqref="F28"/>
    </sheetView>
  </sheetViews>
  <sheetFormatPr baseColWidth="10" defaultRowHeight="15"/>
  <cols>
    <col width="5.7109375" customWidth="1" min="1" max="1"/>
    <col width="15.7109375" customWidth="1" min="2" max="2"/>
    <col width="12" bestFit="1" customWidth="1" min="3" max="3"/>
    <col width="14.42578125" customWidth="1" min="4" max="4"/>
    <col width="12.42578125" bestFit="1" customWidth="1" min="5" max="5"/>
    <col width="12" bestFit="1" customWidth="1" min="6" max="6"/>
    <col width="5.7109375" customWidth="1" min="7" max="7"/>
    <col width="12.28515625" bestFit="1" customWidth="1" min="8" max="22"/>
  </cols>
  <sheetData>
    <row r="2" ht="20.1" customHeight="1">
      <c r="B2" s="18" t="inlineStr">
        <is>
          <t xml:space="preserve">Nombre </t>
        </is>
      </c>
      <c r="C2" s="41" t="inlineStr">
        <is>
          <t>Producto Interno Bruto por actividad económica</t>
        </is>
      </c>
      <c r="D2" s="67" t="n"/>
      <c r="E2" s="67" t="n"/>
      <c r="F2" s="67" t="n"/>
      <c r="G2" s="67" t="n"/>
      <c r="H2" s="67" t="n"/>
      <c r="I2" s="67" t="n"/>
      <c r="J2" s="67" t="n"/>
      <c r="K2" s="67" t="n"/>
      <c r="L2" s="67" t="n"/>
      <c r="M2" s="67" t="n"/>
      <c r="N2" s="67" t="n"/>
      <c r="O2" s="68" t="n"/>
    </row>
    <row r="3" ht="39.95" customHeight="1">
      <c r="B3" s="18" t="inlineStr">
        <is>
          <t>Descripción</t>
        </is>
      </c>
      <c r="C3" s="69" t="inlineStr">
        <is>
          <t xml:space="preserve">Permite analizar la contribución específica de cada sector al valor agregado total de la economía mexicana. Es fundamental para entender la estructura productiva del país y cómo evoluciona con el tiempo. </t>
        </is>
      </c>
      <c r="D3" s="67" t="n"/>
      <c r="E3" s="67" t="n"/>
      <c r="F3" s="67" t="n"/>
      <c r="G3" s="67" t="n"/>
      <c r="H3" s="67" t="n"/>
      <c r="I3" s="67" t="n"/>
      <c r="J3" s="67" t="n"/>
      <c r="K3" s="67" t="n"/>
      <c r="L3" s="67" t="n"/>
      <c r="M3" s="67" t="n"/>
      <c r="N3" s="67" t="n"/>
      <c r="O3" s="68" t="n"/>
    </row>
    <row r="4" ht="20.1" customHeight="1">
      <c r="B4" s="18" t="inlineStr">
        <is>
          <t>Frecuencia</t>
        </is>
      </c>
      <c r="C4" s="41" t="inlineStr">
        <is>
          <t>Trimestral</t>
        </is>
      </c>
      <c r="D4" s="67" t="n"/>
      <c r="E4" s="67" t="n"/>
      <c r="F4" s="67" t="n"/>
      <c r="G4" s="67" t="n"/>
      <c r="H4" s="67" t="n"/>
      <c r="I4" s="67" t="n"/>
      <c r="J4" s="67" t="n"/>
      <c r="K4" s="67" t="n"/>
      <c r="L4" s="67" t="n"/>
      <c r="M4" s="67" t="n"/>
      <c r="N4" s="67" t="n"/>
      <c r="O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https://www.inegi.org.mx/temas/pib/#informacion_general</t>
        </is>
      </c>
      <c r="D7" s="70" t="n"/>
      <c r="E7" s="70" t="n"/>
      <c r="F7" s="70" t="n"/>
      <c r="G7" s="70" t="n"/>
      <c r="H7" s="70" t="n"/>
      <c r="I7" s="70" t="n"/>
      <c r="J7" s="70" t="n"/>
      <c r="K7" s="70" t="n"/>
      <c r="L7" s="70" t="n"/>
      <c r="M7" s="70" t="n"/>
      <c r="N7" s="70" t="n"/>
      <c r="O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c r="V8" s="6" t="n"/>
    </row>
    <row r="9" ht="34.5" customHeight="1">
      <c r="B9" s="10" t="inlineStr">
        <is>
          <t>Periodo</t>
        </is>
      </c>
      <c r="C9" s="8" t="inlineStr">
        <is>
          <t>Primarias</t>
        </is>
      </c>
      <c r="D9" s="8" t="inlineStr">
        <is>
          <t>Secundarias</t>
        </is>
      </c>
      <c r="E9" s="8" t="inlineStr">
        <is>
          <t>Terciarias</t>
        </is>
      </c>
      <c r="F9" s="10" t="inlineStr">
        <is>
          <t>Var. Trim. Terc.</t>
        </is>
      </c>
      <c r="G9" s="6" t="n"/>
      <c r="H9" s="6" t="n"/>
      <c r="N9" s="6" t="n"/>
      <c r="O9" s="6" t="n"/>
      <c r="P9" s="6" t="n"/>
    </row>
    <row r="10" ht="19.5" customHeight="1">
      <c r="B10" s="11" t="inlineStr">
        <is>
          <t>1T-25 P</t>
        </is>
      </c>
      <c r="C10" s="71" t="n">
        <v>835925.6</v>
      </c>
      <c r="D10" s="71" t="n">
        <v>7884149.8</v>
      </c>
      <c r="E10" s="72" t="n">
        <v>14688940.9</v>
      </c>
      <c r="F10" s="33">
        <f>0.6/100</f>
        <v/>
      </c>
      <c r="G10" s="6" t="n"/>
      <c r="H10" s="6" t="n"/>
      <c r="N10" s="6" t="n"/>
      <c r="O10" s="6" t="n"/>
      <c r="P10" s="6" t="n"/>
    </row>
    <row r="11" ht="19.5" customHeight="1">
      <c r="B11" s="11" t="inlineStr">
        <is>
          <t>2T-25 P</t>
        </is>
      </c>
      <c r="C11" s="71" t="n">
        <v>836799.6</v>
      </c>
      <c r="D11" s="71" t="n">
        <v>7943263.3</v>
      </c>
      <c r="E11" s="72" t="n">
        <v>14820043.5</v>
      </c>
      <c r="F11" s="33">
        <f>0.8/100</f>
        <v/>
      </c>
      <c r="G11" s="6" t="n"/>
      <c r="H11" s="6" t="n"/>
      <c r="N11" s="6" t="n"/>
      <c r="O11" s="6" t="n"/>
      <c r="P11" s="6" t="n"/>
    </row>
    <row r="12" ht="19.5" customHeight="1">
      <c r="B12" s="11" t="inlineStr">
        <is>
          <t>3T-25 P</t>
        </is>
      </c>
      <c r="C12" s="71" t="n">
        <v>819095.7</v>
      </c>
      <c r="D12" s="71" t="n">
        <v>8016288.3</v>
      </c>
      <c r="E12" s="72" t="n">
        <v>14946803</v>
      </c>
      <c r="F12" s="33">
        <f>0.8/100</f>
        <v/>
      </c>
      <c r="G12" s="6" t="n"/>
      <c r="H12" s="6" t="n"/>
      <c r="N12" s="6" t="n"/>
      <c r="O12" s="6" t="n"/>
      <c r="P12" s="6" t="n"/>
    </row>
    <row r="13" ht="19.5" customHeight="1">
      <c r="B13" s="11" t="inlineStr">
        <is>
          <t>4T-25 P</t>
        </is>
      </c>
      <c r="C13" s="71" t="n">
        <v>831686.6</v>
      </c>
      <c r="D13" s="71" t="n">
        <v>8010952.1</v>
      </c>
      <c r="E13" s="72" t="n">
        <v>14960367.9</v>
      </c>
      <c r="F13" s="33">
        <f>0/100</f>
        <v/>
      </c>
      <c r="G13" s="6" t="n"/>
      <c r="H13" s="6" t="n"/>
      <c r="N13" s="6" t="n"/>
      <c r="O13" s="6" t="n"/>
      <c r="P13" s="6" t="n"/>
    </row>
    <row r="14" ht="19.5" customHeight="1">
      <c r="B14" s="11" t="inlineStr">
        <is>
          <t>1T-25 P</t>
        </is>
      </c>
      <c r="C14" s="71" t="n">
        <v>827043</v>
      </c>
      <c r="D14" s="71" t="n">
        <v>7940140.6</v>
      </c>
      <c r="E14" s="72" t="n">
        <v>15131051.2</v>
      </c>
      <c r="F14" s="33">
        <f>0.6/100</f>
        <v/>
      </c>
      <c r="G14" s="6" t="n"/>
      <c r="H14" s="6" t="n"/>
      <c r="N14" s="6" t="n"/>
      <c r="O14" s="6" t="n"/>
      <c r="P14" s="6" t="n"/>
    </row>
    <row r="15" ht="19.5" customHeight="1">
      <c r="B15" s="11" t="inlineStr">
        <is>
          <t>2T-25 P</t>
        </is>
      </c>
      <c r="C15" s="71" t="n">
        <v>842252.6</v>
      </c>
      <c r="D15" s="71" t="n">
        <v>7876382</v>
      </c>
      <c r="E15" s="72" t="n">
        <v>15155060</v>
      </c>
      <c r="F15" s="33">
        <f>0/100</f>
        <v/>
      </c>
      <c r="G15" s="6" t="n"/>
      <c r="H15" s="6" t="n"/>
      <c r="N15" s="6" t="n"/>
      <c r="O15" s="6" t="n"/>
      <c r="P15" s="6" t="n"/>
    </row>
    <row r="16" ht="19.5" customHeight="1">
      <c r="B16" s="11" t="inlineStr">
        <is>
          <t>3T-25 P</t>
        </is>
      </c>
      <c r="C16" s="71" t="n">
        <v>871472.5</v>
      </c>
      <c r="D16" s="71" t="n">
        <v>7979123.7</v>
      </c>
      <c r="E16" s="72" t="n">
        <v>15281727.3</v>
      </c>
      <c r="F16" s="33">
        <f>1.1/100</f>
        <v/>
      </c>
      <c r="G16" s="6" t="n"/>
      <c r="H16" s="6" t="n"/>
      <c r="N16" s="6" t="n"/>
      <c r="O16" s="6" t="n"/>
      <c r="P16" s="6" t="n"/>
    </row>
    <row r="17" ht="19.5" customHeight="1">
      <c r="B17" s="11" t="inlineStr">
        <is>
          <t>4T-25 P</t>
        </is>
      </c>
      <c r="C17" s="71" t="n">
        <v>813692.8</v>
      </c>
      <c r="D17" s="71" t="n">
        <v>7807342.1</v>
      </c>
      <c r="E17" s="72" t="n">
        <v>15253152.9</v>
      </c>
      <c r="F17" s="33">
        <f>-1.1/100</f>
        <v/>
      </c>
      <c r="G17" s="6" t="n"/>
      <c r="H17" s="6" t="n"/>
      <c r="N17" s="6" t="n"/>
      <c r="O17" s="6" t="n"/>
      <c r="P17" s="6" t="n"/>
    </row>
    <row r="18" ht="19.5" customHeight="1">
      <c r="B18" s="11" t="inlineStr">
        <is>
          <t>1T-25 P</t>
        </is>
      </c>
      <c r="C18" s="71" t="n">
        <v>854504.32127079</v>
      </c>
      <c r="D18" s="71" t="n">
        <v>7833621.03455699</v>
      </c>
      <c r="E18" s="72" t="n">
        <v>15316101.403228</v>
      </c>
      <c r="F18" s="33">
        <f>0.6/100</f>
        <v/>
      </c>
      <c r="G18" s="73" t="n"/>
      <c r="H18" s="6" t="n"/>
      <c r="N18" s="6" t="n"/>
      <c r="O18" s="6" t="n"/>
      <c r="P18" s="6" t="n"/>
    </row>
    <row r="19" ht="19.5" customHeight="1">
      <c r="B19" s="11" t="inlineStr">
        <is>
          <t>2T-25 P</t>
        </is>
      </c>
      <c r="C19" s="71" t="n">
        <v>836772.665548799</v>
      </c>
      <c r="D19" s="71" t="n">
        <v>7849205.98397336</v>
      </c>
      <c r="E19" s="72" t="n">
        <v>15394411.489658</v>
      </c>
      <c r="F19" s="33">
        <f>0.3/100</f>
        <v/>
      </c>
      <c r="G19" s="6" t="n"/>
      <c r="H19" s="6" t="n"/>
      <c r="N19" s="6" t="n"/>
      <c r="O19" s="6" t="n"/>
      <c r="P19" s="6" t="n"/>
    </row>
    <row r="20" ht="19.5" customHeight="1">
      <c r="B20" s="11" t="inlineStr">
        <is>
          <t>3T-25 P</t>
        </is>
      </c>
      <c r="C20" s="71" t="n">
        <v>859287.643962977</v>
      </c>
      <c r="D20" s="71" t="n">
        <v>7780913.07920474</v>
      </c>
      <c r="E20" s="72" t="n">
        <v>15435842.6920738</v>
      </c>
      <c r="F20" s="33">
        <f>-0.1/100</f>
        <v/>
      </c>
      <c r="G20" s="6" t="n"/>
      <c r="H20" s="6" t="n"/>
      <c r="N20" s="6" t="n"/>
      <c r="O20" s="6" t="n"/>
      <c r="P20" s="6" t="n"/>
    </row>
    <row r="21" ht="19.5" customHeight="1">
      <c r="B21" s="11" t="inlineStr">
        <is>
          <t>4T-25 P</t>
        </is>
      </c>
      <c r="C21" s="71" t="n">
        <v>871755.018658648</v>
      </c>
      <c r="D21" s="71" t="n">
        <v>7829888.17418644</v>
      </c>
      <c r="E21" s="72" t="n">
        <v>15548365.8219927</v>
      </c>
      <c r="F21" s="33">
        <f>0.7/100</f>
        <v/>
      </c>
      <c r="G21" s="6" t="n"/>
      <c r="H21" s="6" t="n"/>
      <c r="I21" s="6" t="n"/>
      <c r="J21" s="6" t="n"/>
      <c r="K21" s="6" t="n"/>
      <c r="L21" s="6" t="n"/>
      <c r="M21" s="6" t="n"/>
      <c r="N21" s="6" t="n"/>
      <c r="O21" s="6" t="n"/>
      <c r="P21" s="6" t="n"/>
      <c r="Q21" s="6" t="n"/>
      <c r="R21" s="6" t="n"/>
      <c r="S21" s="6" t="n"/>
      <c r="T21" s="6" t="n"/>
      <c r="U21" s="6" t="n"/>
      <c r="V21" s="6" t="n"/>
    </row>
    <row r="22" ht="19.5" customHeight="1">
      <c r="B22" s="11" t="inlineStr">
        <is>
          <t>1T-26 P</t>
        </is>
      </c>
      <c r="C22" s="71" t="n">
        <v>856921.087012258</v>
      </c>
      <c r="D22" s="71" t="n">
        <v>7750175.3189237</v>
      </c>
      <c r="E22" s="72" t="n">
        <v>15490105.2001774</v>
      </c>
      <c r="F22" s="33">
        <f>-0.6/100</f>
        <v/>
      </c>
      <c r="G22" s="6" t="n"/>
      <c r="H22" s="6" t="n"/>
      <c r="I22" s="6" t="n"/>
      <c r="J22" s="6" t="n"/>
      <c r="K22" s="6" t="n"/>
      <c r="L22" s="6" t="n"/>
      <c r="M22" s="6" t="n"/>
      <c r="N22" s="6" t="n"/>
      <c r="O22" s="6" t="n"/>
      <c r="P22" s="6" t="n"/>
      <c r="Q22" s="6" t="n"/>
      <c r="R22" s="6" t="n"/>
      <c r="S22" s="6" t="n"/>
      <c r="T22" s="6" t="n"/>
      <c r="U22" s="6" t="n"/>
      <c r="V22" s="6" t="n"/>
    </row>
    <row r="23" ht="19.5" customHeight="1">
      <c r="B23" s="6" t="n"/>
      <c r="C23" s="6" t="n"/>
      <c r="D23" s="6" t="n"/>
      <c r="E23" s="6" t="n"/>
      <c r="F23" s="6" t="n"/>
      <c r="G23" s="6" t="n"/>
      <c r="H23" s="6" t="n"/>
      <c r="I23" s="6" t="n"/>
      <c r="J23" s="6" t="n"/>
      <c r="K23" s="6" t="n"/>
      <c r="L23" s="6" t="n"/>
      <c r="M23" s="6" t="n"/>
      <c r="N23" s="6" t="n"/>
      <c r="O23" s="6" t="n"/>
      <c r="P23" s="6" t="n"/>
      <c r="Q23" s="6" t="n"/>
      <c r="R23" s="6" t="n"/>
      <c r="S23" s="6" t="n"/>
      <c r="T23" s="6" t="n"/>
      <c r="U23" s="6" t="n"/>
      <c r="V23" s="6" t="n"/>
    </row>
    <row r="24" ht="19.5" customHeight="1">
      <c r="B24" s="25" t="inlineStr">
        <is>
          <t>R = Cifras revisadas</t>
        </is>
      </c>
      <c r="C24" s="6" t="n"/>
      <c r="D24" s="6" t="n"/>
      <c r="E24" s="6" t="n"/>
      <c r="F24" s="6" t="n"/>
      <c r="G24" s="6" t="n"/>
      <c r="H24" s="6" t="n"/>
      <c r="I24" s="6" t="n"/>
      <c r="J24" s="6" t="n"/>
      <c r="K24" s="6" t="n"/>
      <c r="L24" s="6" t="n"/>
      <c r="M24" s="6" t="n"/>
      <c r="N24" s="6" t="n"/>
      <c r="O24" s="6" t="n"/>
      <c r="P24" s="6" t="n"/>
      <c r="Q24" s="6" t="n"/>
      <c r="R24" s="6" t="n"/>
      <c r="S24" s="6" t="n"/>
      <c r="T24" s="6" t="n"/>
      <c r="U24" s="6" t="n"/>
      <c r="V24" s="6" t="n"/>
    </row>
    <row r="25" ht="19.5" customHeight="1">
      <c r="B25" s="25" t="inlineStr">
        <is>
          <t>P = Cifras preliminares</t>
        </is>
      </c>
      <c r="C25" s="6" t="n"/>
      <c r="D25" s="6" t="n"/>
      <c r="E25" s="6" t="n"/>
      <c r="F25" s="6" t="n"/>
      <c r="G25" s="6" t="n"/>
      <c r="H25" s="6" t="n"/>
      <c r="I25" s="6" t="n"/>
      <c r="J25" s="6" t="n"/>
      <c r="K25" s="6" t="n"/>
      <c r="L25" s="6" t="n"/>
      <c r="M25" s="6" t="n"/>
      <c r="N25" s="6" t="n"/>
      <c r="O25" s="6" t="n"/>
      <c r="P25" s="6" t="n"/>
      <c r="Q25" s="6" t="n"/>
      <c r="R25" s="6" t="n"/>
      <c r="S25" s="6" t="n"/>
      <c r="T25" s="6" t="n"/>
      <c r="U25" s="6" t="n"/>
      <c r="V25" s="6" t="n"/>
    </row>
  </sheetData>
  <mergeCells count="6">
    <mergeCell ref="C6:P6"/>
    <mergeCell ref="C4:O4"/>
    <mergeCell ref="C3:O3"/>
    <mergeCell ref="C7:O7"/>
    <mergeCell ref="C5:P5"/>
    <mergeCell ref="C2:O2"/>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5" t="n"/>
      <c r="Q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https://www.inegi.org.mx/temas/imai/</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5" t="n"/>
      <c r="E2" s="75" t="n"/>
      <c r="F2" s="75" t="n"/>
      <c r="G2" s="75" t="n"/>
      <c r="H2" s="75" t="n"/>
      <c r="I2" s="75" t="n"/>
      <c r="J2" s="75" t="n"/>
      <c r="K2" s="75" t="n"/>
      <c r="L2" s="75" t="n"/>
      <c r="M2" s="75" t="n"/>
      <c r="N2" s="75" t="n"/>
      <c r="O2" s="75" t="n"/>
      <c r="P2" s="76"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5" t="n"/>
      <c r="E3" s="75" t="n"/>
      <c r="F3" s="75" t="n"/>
      <c r="G3" s="75" t="n"/>
      <c r="H3" s="75" t="n"/>
      <c r="I3" s="75" t="n"/>
      <c r="J3" s="75" t="n"/>
      <c r="K3" s="75" t="n"/>
      <c r="L3" s="75" t="n"/>
      <c r="M3" s="75" t="n"/>
      <c r="N3" s="75" t="n"/>
      <c r="O3" s="75" t="n"/>
      <c r="P3" s="76" t="n"/>
    </row>
    <row r="4" ht="20.1" customHeight="1">
      <c r="B4" s="22" t="inlineStr">
        <is>
          <t>Frecuencia</t>
        </is>
      </c>
      <c r="C4" s="55" t="inlineStr">
        <is>
          <t>Trimestral</t>
        </is>
      </c>
      <c r="D4" s="75" t="n"/>
      <c r="E4" s="75" t="n"/>
      <c r="F4" s="75" t="n"/>
      <c r="G4" s="75" t="n"/>
      <c r="H4" s="75" t="n"/>
      <c r="I4" s="75" t="n"/>
      <c r="J4" s="75" t="n"/>
      <c r="K4" s="75" t="n"/>
      <c r="L4" s="75" t="n"/>
      <c r="M4" s="75" t="n"/>
      <c r="N4" s="75" t="n"/>
      <c r="O4" s="75" t="n"/>
      <c r="P4" s="76" t="n"/>
    </row>
    <row r="5" ht="20.1" customHeight="1">
      <c r="B5" s="22" t="inlineStr">
        <is>
          <t>Publicación</t>
        </is>
      </c>
      <c r="C5" s="55" t="inlineStr">
        <is>
          <t>Aproximadamente 45 días posteriores al cierre del trimestre</t>
        </is>
      </c>
      <c r="D5" s="75" t="n"/>
      <c r="E5" s="75" t="n"/>
      <c r="F5" s="75" t="n"/>
      <c r="G5" s="75" t="n"/>
      <c r="H5" s="75" t="n"/>
      <c r="I5" s="75" t="n"/>
      <c r="J5" s="75" t="n"/>
      <c r="K5" s="75" t="n"/>
      <c r="L5" s="75" t="n"/>
      <c r="M5" s="75" t="n"/>
      <c r="N5" s="75" t="n"/>
      <c r="O5" s="75" t="n"/>
      <c r="P5" s="76" t="n"/>
    </row>
    <row r="6" ht="20.1" customHeight="1">
      <c r="B6" s="22" t="inlineStr">
        <is>
          <t>Próximo dato</t>
        </is>
      </c>
      <c r="C6" s="55" t="inlineStr">
        <is>
          <t>Mediados de agosto</t>
        </is>
      </c>
      <c r="D6" s="75" t="n"/>
      <c r="E6" s="75" t="n"/>
      <c r="F6" s="75" t="n"/>
      <c r="G6" s="75" t="n"/>
      <c r="H6" s="75" t="n"/>
      <c r="I6" s="75" t="n"/>
      <c r="J6" s="75" t="n"/>
      <c r="K6" s="75" t="n"/>
      <c r="L6" s="75" t="n"/>
      <c r="M6" s="75" t="n"/>
      <c r="N6" s="75" t="n"/>
      <c r="O6" s="75" t="n"/>
      <c r="P6" s="76" t="n"/>
    </row>
    <row r="7" ht="39.95" customHeight="1">
      <c r="B7" s="19" t="inlineStr">
        <is>
          <t>Fuente</t>
        </is>
      </c>
      <c r="C7" s="56" t="inlineStr">
        <is>
          <t xml:space="preserve"> Registro Nacional de Inversiones Extranjeras (RNIE). Secretaría de Economía</t>
        </is>
      </c>
      <c r="D7" s="75" t="n"/>
      <c r="E7" s="75" t="n"/>
      <c r="F7" s="75" t="n"/>
      <c r="G7" s="75" t="n"/>
      <c r="H7" s="75" t="n"/>
      <c r="I7" s="75" t="n"/>
      <c r="J7" s="75" t="n"/>
      <c r="K7" s="75" t="n"/>
      <c r="L7" s="75" t="n"/>
      <c r="M7" s="75" t="n"/>
      <c r="N7" s="75" t="n"/>
      <c r="O7" s="75" t="n"/>
      <c r="P7" s="76"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1" t="n">
        <v>11864.03046282</v>
      </c>
      <c r="D10" s="71" t="n">
        <v>2209.41801316</v>
      </c>
      <c r="E10" s="71" t="n">
        <v>7025.211256549997</v>
      </c>
      <c r="F10" s="71" t="n">
        <v>2629.401193109997</v>
      </c>
      <c r="G10" s="77" t="n"/>
    </row>
    <row r="11" ht="17.25" customHeight="1">
      <c r="B11" s="11" t="inlineStr">
        <is>
          <t>2T-21</t>
        </is>
      </c>
      <c r="C11" s="71" t="n">
        <v>18433.46954255985</v>
      </c>
      <c r="D11" s="71" t="n">
        <v>6025.000693990005</v>
      </c>
      <c r="E11" s="71" t="n">
        <v>8658.214019469988</v>
      </c>
      <c r="F11" s="71" t="n">
        <v>3750.254829099993</v>
      </c>
      <c r="G11" s="77" t="n"/>
    </row>
    <row r="12" ht="17.25" customHeight="1">
      <c r="B12" s="11" t="inlineStr">
        <is>
          <t>3T-21</t>
        </is>
      </c>
      <c r="C12" s="71" t="n">
        <v>24831.72427092007</v>
      </c>
      <c r="D12" s="71" t="n">
        <v>9544.62750515</v>
      </c>
      <c r="E12" s="71" t="n">
        <v>9999.422711059975</v>
      </c>
      <c r="F12" s="71" t="n">
        <v>5287.674054709976</v>
      </c>
      <c r="G12" s="77" t="n"/>
      <c r="O12" s="78" t="n"/>
    </row>
    <row r="13" ht="17.25" customHeight="1">
      <c r="B13" s="11" t="inlineStr">
        <is>
          <t>4T-21</t>
        </is>
      </c>
      <c r="C13" s="71" t="n">
        <v>31621.20435087015</v>
      </c>
      <c r="D13" s="71" t="n">
        <v>13825.30166943996</v>
      </c>
      <c r="E13" s="71" t="n">
        <v>12213.01206093998</v>
      </c>
      <c r="F13" s="71" t="n">
        <v>5582.890620490009</v>
      </c>
      <c r="G13" s="77" t="n"/>
    </row>
    <row r="14" ht="17.25" customHeight="1">
      <c r="B14" s="11" t="inlineStr">
        <is>
          <t>1T-22</t>
        </is>
      </c>
      <c r="C14" s="71" t="n">
        <v>19427.45778673005</v>
      </c>
      <c r="D14" s="71" t="n">
        <v>8792.209679979997</v>
      </c>
      <c r="E14" s="71" t="n">
        <v>9259.124450750005</v>
      </c>
      <c r="F14" s="71" t="n">
        <v>1376.123655999997</v>
      </c>
      <c r="G14" s="77" t="n"/>
    </row>
    <row r="15" ht="17.25" customHeight="1">
      <c r="B15" s="11" t="inlineStr">
        <is>
          <t>2T-22</t>
        </is>
      </c>
      <c r="C15" s="71" t="n">
        <v>27511.62373282995</v>
      </c>
      <c r="D15" s="71" t="n">
        <v>11836.52779014</v>
      </c>
      <c r="E15" s="71" t="n">
        <v>11655.60546753999</v>
      </c>
      <c r="F15" s="71" t="n">
        <v>4019.490475149998</v>
      </c>
      <c r="G15" s="77" t="n"/>
    </row>
    <row r="16" ht="17.25" customHeight="1">
      <c r="B16" s="11" t="inlineStr">
        <is>
          <t>3T-22</t>
        </is>
      </c>
      <c r="C16" s="71" t="n">
        <v>32147.38886485986</v>
      </c>
      <c r="D16" s="71" t="n">
        <v>14519.88582904002</v>
      </c>
      <c r="E16" s="71" t="n">
        <v>14052.15139102999</v>
      </c>
      <c r="F16" s="71" t="n">
        <v>3575.351644790012</v>
      </c>
      <c r="G16" s="77" t="n"/>
    </row>
    <row r="17" ht="17.25" customHeight="1">
      <c r="B17" s="11" t="inlineStr">
        <is>
          <t>4T-22</t>
        </is>
      </c>
      <c r="C17" s="71" t="n">
        <v>35291.61835650035</v>
      </c>
      <c r="D17" s="71" t="n">
        <v>16993.09777798016</v>
      </c>
      <c r="E17" s="71" t="n">
        <v>16027.79041017376</v>
      </c>
      <c r="F17" s="71" t="n">
        <v>2270.730168346636</v>
      </c>
      <c r="G17" s="77" t="n"/>
    </row>
    <row r="18" ht="17.25" customHeight="1">
      <c r="B18" s="11" t="inlineStr">
        <is>
          <t>1T-23</t>
        </is>
      </c>
      <c r="C18" s="71" t="n">
        <v>18635.69179056182</v>
      </c>
      <c r="D18" s="71" t="n">
        <v>931.6891732793321</v>
      </c>
      <c r="E18" s="71" t="n">
        <v>16704.7085712238</v>
      </c>
      <c r="F18" s="71" t="n">
        <v>999.2940460586948</v>
      </c>
      <c r="G18" s="77" t="n"/>
    </row>
    <row r="19" ht="17.25" customHeight="1">
      <c r="B19" s="11" t="inlineStr">
        <is>
          <t>2T-23</t>
        </is>
      </c>
      <c r="C19" s="71" t="n">
        <v>29040.8238745911</v>
      </c>
      <c r="D19" s="71" t="n">
        <v>2135.168038952664</v>
      </c>
      <c r="E19" s="71" t="n">
        <v>22608.62151171782</v>
      </c>
      <c r="F19" s="71" t="n">
        <v>4297.034323920598</v>
      </c>
      <c r="G19" s="77" t="n"/>
    </row>
    <row r="20" ht="17.25" customHeight="1">
      <c r="B20" s="11" t="inlineStr">
        <is>
          <t>3T-23</t>
        </is>
      </c>
      <c r="C20" s="71" t="n">
        <v>32926.43680025823</v>
      </c>
      <c r="D20" s="71" t="n">
        <v>2806.241495010777</v>
      </c>
      <c r="E20" s="71" t="n">
        <v>24905.19143529355</v>
      </c>
      <c r="F20" s="71" t="n">
        <v>5215.003869953881</v>
      </c>
      <c r="G20" s="77" t="n"/>
    </row>
    <row r="21" ht="17.25" customHeight="1">
      <c r="B21" s="11" t="inlineStr">
        <is>
          <t>4T-23</t>
        </is>
      </c>
      <c r="C21" s="71" t="n">
        <v>36058.04377568115</v>
      </c>
      <c r="D21" s="71" t="n">
        <v>4817.437436025721</v>
      </c>
      <c r="E21" s="71" t="n">
        <v>26630.61271059473</v>
      </c>
      <c r="F21" s="71" t="n">
        <v>4609.993629060474</v>
      </c>
      <c r="G21" s="77" t="n"/>
    </row>
    <row r="22" ht="17.25" customHeight="1">
      <c r="B22" s="11" t="inlineStr">
        <is>
          <t>1T-24</t>
        </is>
      </c>
      <c r="C22" s="71" t="n">
        <v>20312.65875078067</v>
      </c>
      <c r="D22" s="71" t="n">
        <v>599.3244456864041</v>
      </c>
      <c r="E22" s="71" t="n">
        <v>19614.77618673003</v>
      </c>
      <c r="F22" s="71" t="n">
        <v>98.5581183642047</v>
      </c>
      <c r="G22" s="77" t="n"/>
    </row>
    <row r="23" ht="17.25" customHeight="1">
      <c r="B23" s="11" t="inlineStr">
        <is>
          <t>2T-24</t>
        </is>
      </c>
      <c r="C23" s="71" t="n">
        <v>31096.32510957158</v>
      </c>
      <c r="D23" s="71" t="n">
        <v>909.3070721249387</v>
      </c>
      <c r="E23" s="71" t="n">
        <v>30287.60301161498</v>
      </c>
      <c r="F23" s="71" t="n">
        <v>-100.5849741683989</v>
      </c>
      <c r="G23" s="77" t="n"/>
    </row>
    <row r="24" ht="17.25" customHeight="1">
      <c r="B24" s="11" t="inlineStr">
        <is>
          <t>3T-24</t>
        </is>
      </c>
      <c r="C24" s="71" t="n">
        <v>35737.48954061164</v>
      </c>
      <c r="D24" s="71" t="n">
        <v>2060.368951658199</v>
      </c>
      <c r="E24" s="71" t="n">
        <v>30744.83932329829</v>
      </c>
      <c r="F24" s="71" t="n">
        <v>2932.281265655119</v>
      </c>
      <c r="G24" s="77" t="n"/>
    </row>
    <row r="25" ht="17.25" customHeight="1">
      <c r="B25" s="11" t="inlineStr">
        <is>
          <t>4T-24</t>
        </is>
      </c>
      <c r="C25" s="71" t="n">
        <v>36872.42195115965</v>
      </c>
      <c r="D25" s="71" t="n">
        <v>3168.543654846584</v>
      </c>
      <c r="E25" s="71" t="n">
        <v>28710.3148665372</v>
      </c>
      <c r="F25" s="71" t="n">
        <v>4993.563429775793</v>
      </c>
      <c r="G25" s="77" t="n"/>
    </row>
    <row r="26" ht="17.25" customHeight="1">
      <c r="B26" s="11" t="inlineStr">
        <is>
          <t>1T-25</t>
        </is>
      </c>
      <c r="C26" s="71" t="n">
        <v>21373.19310550217</v>
      </c>
      <c r="D26" s="71" t="n">
        <v>1586.396284871034</v>
      </c>
      <c r="E26" s="71" t="n">
        <v>16646.99308879533</v>
      </c>
      <c r="F26" s="71" t="n">
        <v>3139.80373183581</v>
      </c>
      <c r="G26" s="77" t="n"/>
    </row>
    <row r="27" ht="17.25" customHeight="1">
      <c r="B27" s="11" t="inlineStr">
        <is>
          <t>2T-25</t>
        </is>
      </c>
      <c r="C27" s="71" t="n">
        <v>34264.56746296593</v>
      </c>
      <c r="D27" s="71" t="n">
        <v>3148.538441297729</v>
      </c>
      <c r="E27" s="71" t="n">
        <v>28914.10863011177</v>
      </c>
      <c r="F27" s="71" t="n">
        <v>2201.920391556331</v>
      </c>
      <c r="G27" s="77" t="n"/>
    </row>
    <row r="28" ht="17.25" customHeight="1">
      <c r="B28" s="11" t="inlineStr">
        <is>
          <t>3T-25</t>
        </is>
      </c>
      <c r="C28" s="71" t="n">
        <v>40905.61371637016</v>
      </c>
      <c r="D28" s="71" t="n">
        <v>6563.38012553143</v>
      </c>
      <c r="E28" s="71" t="n">
        <v>27748.84216433168</v>
      </c>
      <c r="F28" s="71" t="n">
        <v>6593.391426507059</v>
      </c>
      <c r="G28" s="77" t="n"/>
    </row>
    <row r="29" ht="17.25" customHeight="1">
      <c r="B29" s="11" t="inlineStr">
        <is>
          <t>4T-25</t>
        </is>
      </c>
      <c r="C29" s="71" t="n">
        <v>40870.76932803365</v>
      </c>
      <c r="D29" s="71" t="n">
        <v>7377.426584413343</v>
      </c>
      <c r="E29" s="71" t="n">
        <v>27649.33990823308</v>
      </c>
      <c r="F29" s="71" t="n">
        <v>5844.002835387397</v>
      </c>
      <c r="G29" s="77" t="n"/>
    </row>
    <row r="30" ht="17.25" customHeight="1">
      <c r="B30" s="11" t="inlineStr">
        <is>
          <t>1T-26</t>
        </is>
      </c>
      <c r="C30" s="71" t="n">
        <v>23590.62204554513</v>
      </c>
      <c r="D30" s="71" t="n">
        <v>1705.227100742525</v>
      </c>
      <c r="E30" s="71" t="n">
        <v>22221.50597185501</v>
      </c>
      <c r="F30" s="71" t="n">
        <v>-336.1110270523728</v>
      </c>
      <c r="G30" s="77" t="n"/>
    </row>
    <row r="36">
      <c r="N36" t="inlineStr">
        <is>
          <t>s</t>
        </is>
      </c>
    </row>
    <row r="44" ht="19.5" customHeight="1">
      <c r="B44" s="79" t="n">
        <v>11864.03046281999</v>
      </c>
      <c r="C44" s="80" t="n">
        <v>18433.46954255985</v>
      </c>
      <c r="D44" s="80" t="n">
        <v>24831.72427092007</v>
      </c>
      <c r="E44" s="81" t="n">
        <v>31621.20435087015</v>
      </c>
      <c r="F44" s="79" t="n">
        <v>19427.45778673005</v>
      </c>
      <c r="G44" s="80" t="n">
        <v>27511.62373282995</v>
      </c>
      <c r="H44" s="80" t="n">
        <v>32147.38886485986</v>
      </c>
      <c r="I44" s="81" t="n">
        <v>35291.61835650035</v>
      </c>
      <c r="J44" s="79" t="n">
        <v>18635.69179056182</v>
      </c>
      <c r="K44" s="80" t="n">
        <v>29040.8238745911</v>
      </c>
      <c r="L44" s="80" t="n">
        <v>32926.43680025823</v>
      </c>
      <c r="M44" s="81" t="n">
        <v>36058.04377568115</v>
      </c>
      <c r="N44" s="79" t="n">
        <v>20312.65875078067</v>
      </c>
      <c r="O44" s="80" t="n">
        <v>31096.32510957158</v>
      </c>
      <c r="P44" s="80" t="n">
        <v>35737.48954061164</v>
      </c>
      <c r="Q44" s="81" t="n">
        <v>36872.42195115965</v>
      </c>
      <c r="R44" s="80" t="n">
        <v>21373.19310550217</v>
      </c>
      <c r="S44" s="80" t="n">
        <v>34264.56746296593</v>
      </c>
      <c r="T44" s="80" t="n">
        <v>40905.61371637016</v>
      </c>
      <c r="U44" s="81" t="n">
        <v>40870.76932803365</v>
      </c>
      <c r="V44" s="80"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4" t="n"/>
    </row>
    <row r="7" ht="39.95" customHeight="1">
      <c r="B7" s="19" t="inlineStr">
        <is>
          <t>Fuente</t>
        </is>
      </c>
      <c r="C7" s="56" t="inlineStr">
        <is>
          <t xml:space="preserve"> INEGI:
https://www.oecd.org/es/data/indicators/unemployment-rate.html</t>
        </is>
      </c>
      <c r="D7" s="75" t="n"/>
      <c r="E7" s="75" t="n"/>
      <c r="F7" s="75" t="n"/>
      <c r="G7" s="75" t="n"/>
      <c r="H7" s="75" t="n"/>
      <c r="I7" s="75" t="n"/>
      <c r="J7" s="75" t="n"/>
      <c r="K7" s="75" t="n"/>
      <c r="L7" s="75" t="n"/>
      <c r="M7" s="75" t="n"/>
      <c r="N7" s="75" t="n"/>
      <c r="O7" s="75" t="n"/>
      <c r="P7" s="76"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10.xml><?xml version="1.0" encoding="utf-8"?>
<worksheet xmlns="http://schemas.openxmlformats.org/spreadsheetml/2006/main">
  <sheetPr>
    <outlinePr summaryBelow="1" summaryRight="1"/>
    <pageSetUpPr/>
  </sheetPr>
  <dimension ref="A1:D24"/>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Mensual de la Formación Bruta de Capital Fijo</t>
        </is>
      </c>
    </row>
    <row r="2">
      <c r="A2" s="62" t="inlineStr">
        <is>
          <t>Fuente: INEGI · Frecuencia: Mensual · Unidad: Índice base 2018=100 · Estado: ACTUALIZADO</t>
        </is>
      </c>
    </row>
    <row r="4">
      <c r="A4" s="63" t="inlineStr">
        <is>
          <t>Periodo</t>
        </is>
      </c>
      <c r="B4" s="63" t="inlineStr">
        <is>
          <t>Índice (inversión)</t>
        </is>
      </c>
      <c r="C4" s="63" t="inlineStr">
        <is>
          <t>Var. mensual (%)</t>
        </is>
      </c>
      <c r="D4" s="63" t="inlineStr">
        <is>
          <t>Var. anual (%)</t>
        </is>
      </c>
    </row>
    <row r="5">
      <c r="A5" s="82" t="inlineStr">
        <is>
          <t>Oct 24</t>
        </is>
      </c>
      <c r="B5" s="82" t="n">
        <v>113.1</v>
      </c>
      <c r="C5" s="82" t="n">
        <v>0.001</v>
      </c>
      <c r="D5" s="82" t="n">
        <v>-0.045</v>
      </c>
    </row>
    <row r="6">
      <c r="A6" s="82" t="inlineStr">
        <is>
          <t>Nov 24</t>
        </is>
      </c>
      <c r="B6" s="82" t="n">
        <v>113.7</v>
      </c>
      <c r="C6" s="82" t="n">
        <v>0.001</v>
      </c>
      <c r="D6" s="82" t="n">
        <v>-0.003</v>
      </c>
    </row>
    <row r="7">
      <c r="A7" s="82" t="inlineStr">
        <is>
          <t>Dic 24</t>
        </is>
      </c>
      <c r="B7" s="82" t="n">
        <v>109.7</v>
      </c>
      <c r="C7" s="82" t="n">
        <v>-0.026</v>
      </c>
      <c r="D7" s="82" t="n">
        <v>-0.041</v>
      </c>
    </row>
    <row r="8">
      <c r="A8" s="82" t="inlineStr">
        <is>
          <t>Ene 25</t>
        </is>
      </c>
      <c r="B8" s="82" t="n">
        <v>107.4</v>
      </c>
      <c r="C8" s="82" t="n">
        <v>-0.015</v>
      </c>
      <c r="D8" s="82" t="n">
        <v>-0.059</v>
      </c>
    </row>
    <row r="9">
      <c r="A9" s="82" t="inlineStr">
        <is>
          <t>Feb 25</t>
        </is>
      </c>
      <c r="B9" s="82" t="n">
        <v>107.3</v>
      </c>
      <c r="C9" s="82" t="n">
        <v>0.001</v>
      </c>
      <c r="D9" s="82" t="n">
        <v>-0.06</v>
      </c>
    </row>
    <row r="10">
      <c r="A10" s="82" t="inlineStr">
        <is>
          <t>Mar 25</t>
        </is>
      </c>
      <c r="B10" s="82" t="n">
        <v>107.9</v>
      </c>
      <c r="C10" s="82" t="n">
        <v>0.003</v>
      </c>
      <c r="D10" s="82" t="n">
        <v>-0.047</v>
      </c>
    </row>
    <row r="11">
      <c r="A11" s="82" t="inlineStr">
        <is>
          <t>Abr 25</t>
        </is>
      </c>
      <c r="B11" s="82" t="n">
        <v>105.6</v>
      </c>
      <c r="C11" s="82" t="n">
        <v>-0.017</v>
      </c>
      <c r="D11" s="82" t="n">
        <v>-0.077</v>
      </c>
    </row>
    <row r="12">
      <c r="A12" s="82" t="inlineStr">
        <is>
          <t>May 25</t>
        </is>
      </c>
      <c r="B12" s="82" t="n">
        <v>106.8</v>
      </c>
      <c r="C12" s="82" t="n">
        <v>0.008999999999999999</v>
      </c>
      <c r="D12" s="82" t="n">
        <v>-0.067</v>
      </c>
    </row>
    <row r="13">
      <c r="A13" s="82" t="inlineStr">
        <is>
          <t>Jun 25</t>
        </is>
      </c>
      <c r="B13" s="82" t="n">
        <v>105.6</v>
      </c>
      <c r="C13" s="82" t="n">
        <v>-0.014</v>
      </c>
      <c r="D13" s="82" t="n">
        <v>-0.068</v>
      </c>
    </row>
    <row r="14">
      <c r="A14" s="82" t="inlineStr">
        <is>
          <t>Jul 25</t>
        </is>
      </c>
      <c r="B14" s="82" t="n">
        <v>107.5</v>
      </c>
      <c r="C14" s="82" t="n">
        <v>0.016</v>
      </c>
      <c r="D14" s="82" t="n">
        <v>-0.07199999999999999</v>
      </c>
    </row>
    <row r="15">
      <c r="A15" s="82" t="inlineStr">
        <is>
          <t>Ago 25</t>
        </is>
      </c>
      <c r="B15" s="82" t="n">
        <v>103.9</v>
      </c>
      <c r="C15" s="82" t="n">
        <v>-0.027</v>
      </c>
      <c r="D15" s="82" t="n">
        <v>-0.089</v>
      </c>
    </row>
    <row r="16">
      <c r="A16" s="82" t="inlineStr">
        <is>
          <t>Sep 25</t>
        </is>
      </c>
      <c r="B16" s="82" t="n">
        <v>101</v>
      </c>
      <c r="C16" s="82" t="n">
        <v>-0.003</v>
      </c>
      <c r="D16" s="82" t="n">
        <v>-0.08400000000000001</v>
      </c>
    </row>
    <row r="17">
      <c r="A17" s="82" t="inlineStr">
        <is>
          <t>Oct 25</t>
        </is>
      </c>
      <c r="B17" s="82" t="n">
        <v>102.2</v>
      </c>
      <c r="C17" s="82" t="n">
        <v>0.008999999999999999</v>
      </c>
      <c r="D17" s="82" t="n">
        <v>-0.058</v>
      </c>
    </row>
    <row r="18">
      <c r="A18" s="82" t="inlineStr">
        <is>
          <t>Nov 25</t>
        </is>
      </c>
      <c r="B18" s="82" t="n">
        <v>102.8</v>
      </c>
      <c r="C18" s="82" t="n">
        <v>0.004</v>
      </c>
      <c r="D18" s="82" t="n">
        <v>-0.057</v>
      </c>
    </row>
    <row r="19">
      <c r="A19" s="82" t="inlineStr">
        <is>
          <t>Dic 25</t>
        </is>
      </c>
      <c r="B19" s="82" t="n">
        <v>103.6</v>
      </c>
      <c r="C19" s="82" t="n">
        <v>0.005</v>
      </c>
      <c r="D19" s="82" t="n">
        <v>-0.016</v>
      </c>
    </row>
    <row r="20">
      <c r="A20" s="82" t="inlineStr">
        <is>
          <t>Ene 26</t>
        </is>
      </c>
      <c r="B20" s="82" t="n">
        <v>102.3</v>
      </c>
      <c r="C20" s="82" t="n">
        <v>-0.011</v>
      </c>
      <c r="D20" s="82" t="n">
        <v>-0.022</v>
      </c>
    </row>
    <row r="21">
      <c r="A21" s="82" t="inlineStr">
        <is>
          <t>Feb 26</t>
        </is>
      </c>
      <c r="B21" s="82" t="n">
        <v>101.1</v>
      </c>
      <c r="C21" s="82" t="n">
        <v>-0.008</v>
      </c>
      <c r="D21" s="82" t="n">
        <v>-0.036</v>
      </c>
    </row>
    <row r="22">
      <c r="A22" s="82" t="inlineStr">
        <is>
          <t>Mar 26</t>
        </is>
      </c>
      <c r="B22" s="82" t="n">
        <v>102</v>
      </c>
      <c r="C22" s="82" t="n">
        <v>0.004</v>
      </c>
      <c r="D22" s="82" t="n">
        <v>-0.031</v>
      </c>
    </row>
    <row r="23">
      <c r="A23" s="82" t="inlineStr">
        <is>
          <t>Abr 26</t>
        </is>
      </c>
      <c r="B23" s="82" t="n">
        <v>107.4</v>
      </c>
      <c r="C23" s="82" t="n">
        <v>0.04</v>
      </c>
      <c r="D23" s="82" t="n">
        <v>0.051</v>
      </c>
    </row>
    <row r="24">
      <c r="A24" s="82" t="inlineStr">
        <is>
          <t>May 26</t>
        </is>
      </c>
      <c r="B24" s="82" t="n">
        <v>107.1</v>
      </c>
      <c r="C24" s="82" t="n">
        <v>-0.004</v>
      </c>
      <c r="D24" s="82" t="n">
        <v>0.024</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1"/>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s>
  <sheetData>
    <row r="1">
      <c r="A1" s="61" t="inlineStr">
        <is>
          <t>Indicador Oportuno de la Actividad Económica</t>
        </is>
      </c>
    </row>
    <row r="2">
      <c r="A2" s="62" t="inlineStr">
        <is>
          <t>Fuente: INEGI · Frecuencia: Mensual · Unidad: Variación mensual estimada (%) · Estado: ACTUALIZADO</t>
        </is>
      </c>
    </row>
    <row r="4">
      <c r="A4" s="63" t="inlineStr">
        <is>
          <t>Periodo</t>
        </is>
      </c>
      <c r="B4" s="63" t="inlineStr">
        <is>
          <t>Estimación mensual (%)</t>
        </is>
      </c>
      <c r="C4" s="63" t="inlineStr">
        <is>
          <t>Estimación anual (%)</t>
        </is>
      </c>
      <c r="D4" s="63" t="inlineStr">
        <is>
          <t>Límite inferior (%)</t>
        </is>
      </c>
      <c r="E4" s="63" t="inlineStr">
        <is>
          <t>Límite superior (%)</t>
        </is>
      </c>
    </row>
    <row r="5">
      <c r="A5" s="82" t="inlineStr">
        <is>
          <t>Dic 23</t>
        </is>
      </c>
      <c r="B5" s="82" t="n">
        <v>0.1</v>
      </c>
      <c r="C5" s="82" t="n">
        <v>2.6</v>
      </c>
      <c r="D5" s="82" t="n">
        <v>-1.2</v>
      </c>
      <c r="E5" s="82" t="n">
        <v>1.3</v>
      </c>
    </row>
    <row r="6">
      <c r="A6" s="82" t="inlineStr">
        <is>
          <t>Ene 24</t>
        </is>
      </c>
      <c r="B6" s="82" t="n">
        <v>0.1</v>
      </c>
      <c r="C6" s="82" t="n">
        <v>2.2</v>
      </c>
      <c r="D6" s="82" t="n">
        <v>-0.7</v>
      </c>
      <c r="E6" s="82" t="n">
        <v>1</v>
      </c>
    </row>
    <row r="7">
      <c r="A7" s="82" t="inlineStr">
        <is>
          <t>Feb 24</t>
        </is>
      </c>
      <c r="B7" s="82" t="n">
        <v>0.3</v>
      </c>
      <c r="C7" s="82" t="n">
        <v>2.4</v>
      </c>
      <c r="D7" s="82" t="n">
        <v>-0.9</v>
      </c>
      <c r="E7" s="82" t="n">
        <v>1.4</v>
      </c>
    </row>
    <row r="8">
      <c r="A8" s="82" t="inlineStr">
        <is>
          <t>Mar 24</t>
        </is>
      </c>
      <c r="B8" s="82" t="n">
        <v>0.2</v>
      </c>
      <c r="C8" s="82" t="n">
        <v>2.1</v>
      </c>
      <c r="D8" s="82" t="n">
        <v>-0.9</v>
      </c>
      <c r="E8" s="82" t="n">
        <v>1.3</v>
      </c>
    </row>
    <row r="9">
      <c r="A9" s="82" t="inlineStr">
        <is>
          <t>Abr 24</t>
        </is>
      </c>
      <c r="B9" s="82" t="n">
        <v>0.1</v>
      </c>
      <c r="C9" s="82" t="n">
        <v>1.7</v>
      </c>
      <c r="D9" s="82" t="n">
        <v>-0.8</v>
      </c>
      <c r="E9" s="82" t="n">
        <v>0.9</v>
      </c>
    </row>
    <row r="10">
      <c r="A10" s="82" t="inlineStr">
        <is>
          <t>May 24</t>
        </is>
      </c>
      <c r="B10" s="82" t="n">
        <v>0.3</v>
      </c>
      <c r="C10" s="82" t="n">
        <v>2</v>
      </c>
      <c r="D10" s="82" t="n">
        <v>-0.9</v>
      </c>
      <c r="E10" s="82" t="n">
        <v>1.5</v>
      </c>
    </row>
    <row r="11">
      <c r="A11" s="82" t="inlineStr">
        <is>
          <t>Jun 24</t>
        </is>
      </c>
      <c r="B11" s="82" t="n">
        <v>0</v>
      </c>
      <c r="C11" s="82" t="n">
        <v>0.9</v>
      </c>
      <c r="D11" s="82" t="n">
        <v>-1.2</v>
      </c>
      <c r="E11" s="82" t="n">
        <v>1.2</v>
      </c>
    </row>
    <row r="12">
      <c r="A12" s="82" t="inlineStr">
        <is>
          <t>Nov 24</t>
        </is>
      </c>
      <c r="B12" s="82" t="n">
        <v>0.2</v>
      </c>
      <c r="C12" s="82" t="n"/>
      <c r="D12" s="82" t="n">
        <v>-0.9</v>
      </c>
      <c r="E12" s="82" t="n">
        <v>1.3</v>
      </c>
    </row>
    <row r="13">
      <c r="A13" s="82" t="inlineStr">
        <is>
          <t>Dic 24</t>
        </is>
      </c>
      <c r="B13" s="82" t="n">
        <v>0.4</v>
      </c>
      <c r="C13" s="82" t="n">
        <v>1.1</v>
      </c>
      <c r="D13" s="82" t="n">
        <v>-0.8</v>
      </c>
      <c r="E13" s="82" t="n">
        <v>1.5</v>
      </c>
    </row>
    <row r="14">
      <c r="A14" s="82" t="inlineStr">
        <is>
          <t>Ene 25</t>
        </is>
      </c>
      <c r="B14" s="82" t="n">
        <v>0.1</v>
      </c>
      <c r="C14" s="82" t="n">
        <v>1.8</v>
      </c>
      <c r="D14" s="82" t="n">
        <v>-0.8</v>
      </c>
      <c r="E14" s="82" t="n">
        <v>1</v>
      </c>
    </row>
    <row r="15">
      <c r="A15" s="82" t="inlineStr">
        <is>
          <t>Feb 25</t>
        </is>
      </c>
      <c r="B15" s="82" t="n">
        <v>0.2</v>
      </c>
      <c r="C15" s="82" t="n">
        <v>-0.7</v>
      </c>
      <c r="D15" s="82" t="n">
        <v>-1</v>
      </c>
      <c r="E15" s="82" t="n">
        <v>1.4</v>
      </c>
    </row>
    <row r="16">
      <c r="A16" s="82" t="inlineStr">
        <is>
          <t>Mar 25</t>
        </is>
      </c>
      <c r="B16" s="82" t="n">
        <v>0</v>
      </c>
      <c r="C16" s="82" t="n">
        <v>-0.2</v>
      </c>
      <c r="D16" s="82" t="n">
        <v>-1.2</v>
      </c>
      <c r="E16" s="82" t="n">
        <v>1.2</v>
      </c>
    </row>
    <row r="17">
      <c r="A17" s="82" t="inlineStr">
        <is>
          <t>Abr 25</t>
        </is>
      </c>
      <c r="B17" s="82" t="n">
        <v>0</v>
      </c>
      <c r="C17" s="82" t="n">
        <v>0.7</v>
      </c>
      <c r="D17" s="82" t="n">
        <v>-1.4</v>
      </c>
      <c r="E17" s="82" t="n">
        <v>1.4</v>
      </c>
    </row>
    <row r="18">
      <c r="A18" s="82" t="inlineStr">
        <is>
          <t>May 25</t>
        </is>
      </c>
      <c r="B18" s="82" t="n">
        <v>0.1</v>
      </c>
      <c r="C18" s="82" t="n">
        <v>-0.3</v>
      </c>
      <c r="D18" s="82" t="n">
        <v>-1</v>
      </c>
      <c r="E18" s="82" t="n">
        <v>1.3</v>
      </c>
    </row>
    <row r="19">
      <c r="A19" s="82" t="inlineStr">
        <is>
          <t>Jun 25</t>
        </is>
      </c>
      <c r="B19" s="82" t="n">
        <v>0.2</v>
      </c>
      <c r="C19" s="82" t="n">
        <v>1.3</v>
      </c>
      <c r="D19" s="82" t="n">
        <v>-0.9</v>
      </c>
      <c r="E19" s="82" t="n">
        <v>1.4</v>
      </c>
    </row>
    <row r="20">
      <c r="A20" s="82" t="inlineStr">
        <is>
          <t>Jul 25</t>
        </is>
      </c>
      <c r="B20" s="82" t="n">
        <v>-0.1</v>
      </c>
      <c r="C20" s="82" t="n">
        <v>0.1</v>
      </c>
      <c r="D20" s="82" t="n">
        <v>-1</v>
      </c>
      <c r="E20" s="82" t="n">
        <v>0.9</v>
      </c>
    </row>
    <row r="21">
      <c r="A21" s="82" t="inlineStr">
        <is>
          <t>Ago 25</t>
        </is>
      </c>
      <c r="B21" s="82" t="n">
        <v>0.1</v>
      </c>
      <c r="C21" s="82" t="n">
        <v>0.2</v>
      </c>
      <c r="D21" s="82" t="n">
        <v>-1.1</v>
      </c>
      <c r="E21" s="82" t="n">
        <v>1.3</v>
      </c>
    </row>
    <row r="22">
      <c r="A22" s="82" t="inlineStr">
        <is>
          <t>Sep 25</t>
        </is>
      </c>
      <c r="B22" s="82" t="n">
        <v>0.1</v>
      </c>
      <c r="C22" s="82" t="n">
        <v>-0.6</v>
      </c>
      <c r="D22" s="82" t="n">
        <v>-1</v>
      </c>
      <c r="E22" s="82" t="n">
        <v>1.2</v>
      </c>
    </row>
    <row r="23">
      <c r="A23" s="82" t="inlineStr">
        <is>
          <t>Oct 25</t>
        </is>
      </c>
      <c r="B23" s="82" t="n">
        <v>0</v>
      </c>
      <c r="C23" s="82" t="n">
        <v>0</v>
      </c>
      <c r="D23" s="82" t="n">
        <v>-0.9</v>
      </c>
      <c r="E23" s="82" t="n">
        <v>0.9</v>
      </c>
    </row>
    <row r="24">
      <c r="A24" s="82" t="inlineStr">
        <is>
          <t>Nov 25</t>
        </is>
      </c>
      <c r="B24" s="82" t="n">
        <v>-0.2</v>
      </c>
      <c r="C24" s="82" t="n">
        <v>0</v>
      </c>
      <c r="D24" s="82" t="n">
        <v>-1.3</v>
      </c>
      <c r="E24" s="82" t="n">
        <v>1</v>
      </c>
    </row>
    <row r="25">
      <c r="A25" s="82" t="inlineStr">
        <is>
          <t>Dic 25</t>
        </is>
      </c>
      <c r="B25" s="82" t="n">
        <v>0.2</v>
      </c>
      <c r="C25" s="82" t="n">
        <v>2.3</v>
      </c>
      <c r="D25" s="82" t="n">
        <v>-1</v>
      </c>
      <c r="E25" s="82" t="n">
        <v>1.3</v>
      </c>
    </row>
    <row r="26">
      <c r="A26" s="82" t="inlineStr">
        <is>
          <t>Ene 26</t>
        </is>
      </c>
      <c r="B26" s="82" t="n">
        <v>0.3</v>
      </c>
      <c r="C26" s="82" t="n">
        <v>2.3</v>
      </c>
      <c r="D26" s="82" t="n">
        <v>-0.6</v>
      </c>
      <c r="E26" s="82" t="n">
        <v>1.2</v>
      </c>
    </row>
    <row r="27">
      <c r="A27" s="82" t="inlineStr">
        <is>
          <t>Feb 26</t>
        </is>
      </c>
      <c r="B27" s="82" t="n">
        <v>0.1</v>
      </c>
      <c r="C27" s="82" t="n">
        <v>1.2</v>
      </c>
      <c r="D27" s="82" t="n">
        <v>-1.1</v>
      </c>
      <c r="E27" s="82" t="n">
        <v>1.3</v>
      </c>
    </row>
    <row r="28">
      <c r="A28" s="82" t="inlineStr">
        <is>
          <t>Mar 26</t>
        </is>
      </c>
      <c r="B28" s="82" t="n">
        <v>0</v>
      </c>
      <c r="C28" s="82" t="n">
        <v>0.5</v>
      </c>
      <c r="D28" s="82" t="n">
        <v>-1.2</v>
      </c>
      <c r="E28" s="82" t="n">
        <v>1.2</v>
      </c>
    </row>
    <row r="29">
      <c r="A29" s="82" t="inlineStr">
        <is>
          <t>Abr 26</t>
        </is>
      </c>
      <c r="B29" s="82" t="n">
        <v>0.3</v>
      </c>
      <c r="C29" s="82" t="n">
        <v>0.3</v>
      </c>
      <c r="D29" s="82" t="n">
        <v>-0.6</v>
      </c>
      <c r="E29" s="82" t="n">
        <v>1.2</v>
      </c>
    </row>
    <row r="30">
      <c r="A30" s="82" t="inlineStr">
        <is>
          <t>May 26</t>
        </is>
      </c>
      <c r="B30" s="82" t="n">
        <v>0</v>
      </c>
      <c r="C30" s="82" t="n">
        <v>1.1</v>
      </c>
      <c r="D30" s="82" t="n">
        <v>-1.1</v>
      </c>
      <c r="E30" s="82" t="n">
        <v>1.2</v>
      </c>
    </row>
    <row r="31">
      <c r="A31" s="82" t="inlineStr">
        <is>
          <t>Jun 26</t>
        </is>
      </c>
      <c r="B31" s="82" t="n">
        <v>0.2</v>
      </c>
      <c r="C31" s="82" t="n">
        <v>1.7</v>
      </c>
      <c r="D31" s="82" t="n">
        <v>-1</v>
      </c>
      <c r="E31" s="82" t="n">
        <v>1.3</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05"/>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base 2018=100 · Estado: ACTUALIZADO</t>
        </is>
      </c>
    </row>
    <row r="4">
      <c r="A4" s="63" t="inlineStr">
        <is>
          <t>Periodo</t>
        </is>
      </c>
      <c r="B4" s="63" t="inlineStr">
        <is>
          <t>Producción (índice)</t>
        </is>
      </c>
      <c r="C4" s="63" t="inlineStr">
        <is>
          <t>Var. mensual (%)</t>
        </is>
      </c>
    </row>
    <row r="5">
      <c r="A5" s="82" t="inlineStr">
        <is>
          <t>Ene 18</t>
        </is>
      </c>
      <c r="B5" s="82" t="n">
        <v>97.40000000000001</v>
      </c>
      <c r="C5" s="82" t="n">
        <v>0.064481</v>
      </c>
    </row>
    <row r="6">
      <c r="A6" s="82" t="inlineStr">
        <is>
          <t>Feb 18</t>
        </is>
      </c>
      <c r="B6" s="82" t="n">
        <v>94.40000000000001</v>
      </c>
      <c r="C6" s="82" t="n">
        <v>-0.030801</v>
      </c>
    </row>
    <row r="7">
      <c r="A7" s="82" t="inlineStr">
        <is>
          <t>Mar 18</t>
        </is>
      </c>
      <c r="B7" s="82" t="n">
        <v>103</v>
      </c>
      <c r="C7" s="82" t="n">
        <v>0.091102</v>
      </c>
    </row>
    <row r="8">
      <c r="A8" s="82" t="inlineStr">
        <is>
          <t>Abr 18</t>
        </is>
      </c>
      <c r="B8" s="82" t="n">
        <v>100.7</v>
      </c>
      <c r="C8" s="82" t="n">
        <v>-0.02233</v>
      </c>
    </row>
    <row r="9">
      <c r="A9" s="82" t="inlineStr">
        <is>
          <t>May 18</t>
        </is>
      </c>
      <c r="B9" s="82" t="n">
        <v>106.2</v>
      </c>
      <c r="C9" s="82" t="n">
        <v>0.054618</v>
      </c>
    </row>
    <row r="10">
      <c r="A10" s="82" t="inlineStr">
        <is>
          <t>Jun 18</t>
        </is>
      </c>
      <c r="B10" s="82" t="n">
        <v>102.1</v>
      </c>
      <c r="C10" s="82" t="n">
        <v>-0.038606</v>
      </c>
    </row>
    <row r="11">
      <c r="A11" s="82" t="inlineStr">
        <is>
          <t>Jul 18</t>
        </is>
      </c>
      <c r="B11" s="82" t="n">
        <v>99</v>
      </c>
      <c r="C11" s="82" t="n">
        <v>-0.030362</v>
      </c>
    </row>
    <row r="12">
      <c r="A12" s="82" t="inlineStr">
        <is>
          <t>Ago 18</t>
        </is>
      </c>
      <c r="B12" s="82" t="n">
        <v>105.8</v>
      </c>
      <c r="C12" s="82" t="n">
        <v>0.068687</v>
      </c>
    </row>
    <row r="13">
      <c r="A13" s="82" t="inlineStr">
        <is>
          <t>Sep 18</t>
        </is>
      </c>
      <c r="B13" s="82" t="n">
        <v>98</v>
      </c>
      <c r="C13" s="82" t="n">
        <v>-0.073724</v>
      </c>
    </row>
    <row r="14">
      <c r="A14" s="82" t="inlineStr">
        <is>
          <t>Oct 18</t>
        </is>
      </c>
      <c r="B14" s="82" t="n">
        <v>103.1</v>
      </c>
      <c r="C14" s="82" t="n">
        <v>0.052041</v>
      </c>
    </row>
    <row r="15">
      <c r="A15" s="82" t="inlineStr">
        <is>
          <t>Nov 18</t>
        </is>
      </c>
      <c r="B15" s="82" t="n">
        <v>100.4</v>
      </c>
      <c r="C15" s="82" t="n">
        <v>-0.026188</v>
      </c>
    </row>
    <row r="16">
      <c r="A16" s="82" t="inlineStr">
        <is>
          <t>Dic 18</t>
        </is>
      </c>
      <c r="B16" s="82" t="n">
        <v>89.90000000000001</v>
      </c>
      <c r="C16" s="82" t="n">
        <v>-0.104582</v>
      </c>
    </row>
    <row r="17">
      <c r="A17" s="82" t="inlineStr">
        <is>
          <t>Ene 19</t>
        </is>
      </c>
      <c r="B17" s="82" t="n">
        <v>97.3</v>
      </c>
      <c r="C17" s="82" t="n">
        <v>0.082314</v>
      </c>
    </row>
    <row r="18">
      <c r="A18" s="82" t="inlineStr">
        <is>
          <t>Feb 19</t>
        </is>
      </c>
      <c r="B18" s="82" t="n">
        <v>96.09999999999999</v>
      </c>
      <c r="C18" s="82" t="n">
        <v>-0.012333</v>
      </c>
    </row>
    <row r="19">
      <c r="A19" s="82" t="inlineStr">
        <is>
          <t>Mar 19</t>
        </is>
      </c>
      <c r="B19" s="82" t="n">
        <v>103.4</v>
      </c>
      <c r="C19" s="82" t="n">
        <v>0.075963</v>
      </c>
    </row>
    <row r="20">
      <c r="A20" s="82" t="inlineStr">
        <is>
          <t>Abr 19</t>
        </is>
      </c>
      <c r="B20" s="82" t="n">
        <v>98.90000000000001</v>
      </c>
      <c r="C20" s="82" t="n">
        <v>-0.04352</v>
      </c>
    </row>
    <row r="21">
      <c r="A21" s="82" t="inlineStr">
        <is>
          <t>May 19</t>
        </is>
      </c>
      <c r="B21" s="82" t="n">
        <v>105.5</v>
      </c>
      <c r="C21" s="82" t="n">
        <v>0.066734</v>
      </c>
    </row>
    <row r="22">
      <c r="A22" s="82" t="inlineStr">
        <is>
          <t>Jun 19</t>
        </is>
      </c>
      <c r="B22" s="82" t="n">
        <v>101.9</v>
      </c>
      <c r="C22" s="82" t="n">
        <v>-0.034123</v>
      </c>
    </row>
    <row r="23">
      <c r="A23" s="82" t="inlineStr">
        <is>
          <t>Jul 19</t>
        </is>
      </c>
      <c r="B23" s="82" t="n">
        <v>101.9</v>
      </c>
      <c r="C23" s="82" t="n">
        <v>0</v>
      </c>
    </row>
    <row r="24">
      <c r="A24" s="82" t="inlineStr">
        <is>
          <t>Ago 19</t>
        </is>
      </c>
      <c r="B24" s="82" t="n">
        <v>103.9</v>
      </c>
      <c r="C24" s="82" t="n">
        <v>0.019627</v>
      </c>
    </row>
    <row r="25">
      <c r="A25" s="82" t="inlineStr">
        <is>
          <t>Sep 19</t>
        </is>
      </c>
      <c r="B25" s="82" t="n">
        <v>98.8</v>
      </c>
      <c r="C25" s="82" t="n">
        <v>-0.049086</v>
      </c>
    </row>
    <row r="26">
      <c r="A26" s="82" t="inlineStr">
        <is>
          <t>Oct 19</t>
        </is>
      </c>
      <c r="B26" s="82" t="n">
        <v>100</v>
      </c>
      <c r="C26" s="82" t="n">
        <v>0.012146</v>
      </c>
    </row>
    <row r="27">
      <c r="A27" s="82" t="inlineStr">
        <is>
          <t>Nov 19</t>
        </is>
      </c>
      <c r="B27" s="82" t="n">
        <v>97.7</v>
      </c>
      <c r="C27" s="82" t="n">
        <v>-0.023</v>
      </c>
    </row>
    <row r="28">
      <c r="A28" s="82" t="inlineStr">
        <is>
          <t>Dic 19</t>
        </is>
      </c>
      <c r="B28" s="82" t="n">
        <v>89.3</v>
      </c>
      <c r="C28" s="82" t="n">
        <v>-0.085977</v>
      </c>
    </row>
    <row r="29">
      <c r="A29" s="82" t="inlineStr">
        <is>
          <t>Ene 20</t>
        </is>
      </c>
      <c r="B29" s="82" t="n">
        <v>98.40000000000001</v>
      </c>
      <c r="C29" s="82" t="n">
        <v>0.101904</v>
      </c>
    </row>
    <row r="30">
      <c r="A30" s="82" t="inlineStr">
        <is>
          <t>Feb 20</t>
        </is>
      </c>
      <c r="B30" s="82" t="n">
        <v>96.09999999999999</v>
      </c>
      <c r="C30" s="82" t="n">
        <v>-0.023374</v>
      </c>
    </row>
    <row r="31">
      <c r="A31" s="82" t="inlineStr">
        <is>
          <t>Mar 20</t>
        </is>
      </c>
      <c r="B31" s="82" t="n">
        <v>97.3</v>
      </c>
      <c r="C31" s="82" t="n">
        <v>0.012487</v>
      </c>
    </row>
    <row r="32">
      <c r="A32" s="82" t="inlineStr">
        <is>
          <t>Abr 20</t>
        </is>
      </c>
      <c r="B32" s="82" t="n">
        <v>64</v>
      </c>
      <c r="C32" s="82" t="n">
        <v>-0.34224</v>
      </c>
    </row>
    <row r="33">
      <c r="A33" s="82" t="inlineStr">
        <is>
          <t>May 20</t>
        </is>
      </c>
      <c r="B33" s="82" t="n">
        <v>65.7</v>
      </c>
      <c r="C33" s="82" t="n">
        <v>0.026563</v>
      </c>
    </row>
    <row r="34">
      <c r="A34" s="82" t="inlineStr">
        <is>
          <t>Jun 20</t>
        </is>
      </c>
      <c r="B34" s="82" t="n">
        <v>88.40000000000001</v>
      </c>
      <c r="C34" s="82" t="n">
        <v>0.34551</v>
      </c>
    </row>
    <row r="35">
      <c r="A35" s="82" t="inlineStr">
        <is>
          <t>Jul 20</t>
        </is>
      </c>
      <c r="B35" s="82" t="n">
        <v>92.8</v>
      </c>
      <c r="C35" s="82" t="n">
        <v>0.049774</v>
      </c>
    </row>
    <row r="36">
      <c r="A36" s="82" t="inlineStr">
        <is>
          <t>Ago 20</t>
        </is>
      </c>
      <c r="B36" s="82" t="n">
        <v>94.7</v>
      </c>
      <c r="C36" s="82" t="n">
        <v>0.020474</v>
      </c>
    </row>
    <row r="37">
      <c r="A37" s="82" t="inlineStr">
        <is>
          <t>Sep 20</t>
        </is>
      </c>
      <c r="B37" s="82" t="n">
        <v>98.3</v>
      </c>
      <c r="C37" s="82" t="n">
        <v>0.038015</v>
      </c>
    </row>
    <row r="38">
      <c r="A38" s="82" t="inlineStr">
        <is>
          <t>Oct 20</t>
        </is>
      </c>
      <c r="B38" s="82" t="n">
        <v>102.6</v>
      </c>
      <c r="C38" s="82" t="n">
        <v>0.043744</v>
      </c>
    </row>
    <row r="39">
      <c r="A39" s="82" t="inlineStr">
        <is>
          <t>Nov 20</t>
        </is>
      </c>
      <c r="B39" s="82" t="n">
        <v>97.2</v>
      </c>
      <c r="C39" s="82" t="n">
        <v>-0.052632</v>
      </c>
    </row>
    <row r="40">
      <c r="A40" s="82" t="inlineStr">
        <is>
          <t>Dic 20</t>
        </is>
      </c>
      <c r="B40" s="82" t="n">
        <v>95.8</v>
      </c>
      <c r="C40" s="82" t="n">
        <v>-0.014403</v>
      </c>
    </row>
    <row r="41">
      <c r="A41" s="82" t="inlineStr">
        <is>
          <t>Ene 21</t>
        </is>
      </c>
      <c r="B41" s="82" t="n">
        <v>98</v>
      </c>
      <c r="C41" s="82" t="n">
        <v>0.022965</v>
      </c>
    </row>
    <row r="42">
      <c r="A42" s="82" t="inlineStr">
        <is>
          <t>Feb 21</t>
        </is>
      </c>
      <c r="B42" s="82" t="n">
        <v>93</v>
      </c>
      <c r="C42" s="82" t="n">
        <v>-0.05102</v>
      </c>
    </row>
    <row r="43">
      <c r="A43" s="82" t="inlineStr">
        <is>
          <t>Mar 21</t>
        </is>
      </c>
      <c r="B43" s="82" t="n">
        <v>109.5</v>
      </c>
      <c r="C43" s="82" t="n">
        <v>0.177419</v>
      </c>
    </row>
    <row r="44">
      <c r="A44" s="82" t="inlineStr">
        <is>
          <t>Abr 21</t>
        </is>
      </c>
      <c r="B44" s="82" t="n">
        <v>99.8</v>
      </c>
      <c r="C44" s="82" t="n">
        <v>-0.088584</v>
      </c>
    </row>
    <row r="45">
      <c r="A45" s="82" t="inlineStr">
        <is>
          <t>May 21</t>
        </is>
      </c>
      <c r="B45" s="82" t="n">
        <v>99.3</v>
      </c>
      <c r="C45" s="82" t="n">
        <v>-0.00501</v>
      </c>
    </row>
    <row r="46">
      <c r="A46" s="82" t="inlineStr">
        <is>
          <t>Jun 21</t>
        </is>
      </c>
      <c r="B46" s="82" t="n">
        <v>101</v>
      </c>
      <c r="C46" s="82" t="n">
        <v>0.01712</v>
      </c>
    </row>
    <row r="47">
      <c r="A47" s="82" t="inlineStr">
        <is>
          <t>Jul 21</t>
        </is>
      </c>
      <c r="B47" s="82" t="n">
        <v>98.8</v>
      </c>
      <c r="C47" s="82" t="n">
        <v>-0.021782</v>
      </c>
    </row>
    <row r="48">
      <c r="A48" s="82" t="inlineStr">
        <is>
          <t>Ago 21</t>
        </is>
      </c>
      <c r="B48" s="82" t="n">
        <v>100.1</v>
      </c>
      <c r="C48" s="82" t="n">
        <v>0.013158</v>
      </c>
    </row>
    <row r="49">
      <c r="A49" s="82" t="inlineStr">
        <is>
          <t>Sep 21</t>
        </is>
      </c>
      <c r="B49" s="82" t="n">
        <v>96.8</v>
      </c>
      <c r="C49" s="82" t="n">
        <v>-0.032967</v>
      </c>
    </row>
    <row r="50">
      <c r="A50" s="82" t="inlineStr">
        <is>
          <t>Oct 21</t>
        </is>
      </c>
      <c r="B50" s="82" t="n">
        <v>101</v>
      </c>
      <c r="C50" s="82" t="n">
        <v>0.043388</v>
      </c>
    </row>
    <row r="51">
      <c r="A51" s="82" t="inlineStr">
        <is>
          <t>Nov 21</t>
        </is>
      </c>
      <c r="B51" s="82" t="n">
        <v>100.6</v>
      </c>
      <c r="C51" s="82" t="n">
        <v>-0.00396</v>
      </c>
    </row>
    <row r="52">
      <c r="A52" s="82" t="inlineStr">
        <is>
          <t>Dic 21</t>
        </is>
      </c>
      <c r="B52" s="82" t="n">
        <v>99.59999999999999</v>
      </c>
      <c r="C52" s="82" t="n">
        <v>-0.009939999999999999</v>
      </c>
    </row>
    <row r="53">
      <c r="A53" s="82" t="inlineStr">
        <is>
          <t>Ene 22</t>
        </is>
      </c>
      <c r="B53" s="82" t="n">
        <v>102.7</v>
      </c>
      <c r="C53" s="82" t="n">
        <v>0.031124</v>
      </c>
    </row>
    <row r="54">
      <c r="A54" s="82" t="inlineStr">
        <is>
          <t>Feb 22</t>
        </is>
      </c>
      <c r="B54" s="82" t="n">
        <v>100.9</v>
      </c>
      <c r="C54" s="82" t="n">
        <v>-0.017527</v>
      </c>
    </row>
    <row r="55">
      <c r="A55" s="82" t="inlineStr">
        <is>
          <t>Mar 22</t>
        </is>
      </c>
      <c r="B55" s="82" t="n">
        <v>113.3</v>
      </c>
      <c r="C55" s="82" t="n">
        <v>0.122894</v>
      </c>
    </row>
    <row r="56">
      <c r="A56" s="82" t="inlineStr">
        <is>
          <t>Abr 22</t>
        </is>
      </c>
      <c r="B56" s="82" t="n">
        <v>105.1</v>
      </c>
      <c r="C56" s="82" t="n">
        <v>-0.07237399999999999</v>
      </c>
    </row>
    <row r="57">
      <c r="A57" s="82" t="inlineStr">
        <is>
          <t>May 22</t>
        </is>
      </c>
      <c r="B57" s="82" t="n">
        <v>108.1</v>
      </c>
      <c r="C57" s="82" t="n">
        <v>0.028544</v>
      </c>
    </row>
    <row r="58">
      <c r="A58" s="82" t="inlineStr">
        <is>
          <t>Jun 22</t>
        </is>
      </c>
      <c r="B58" s="82" t="n">
        <v>104.6</v>
      </c>
      <c r="C58" s="82" t="n">
        <v>-0.032377</v>
      </c>
    </row>
    <row r="59">
      <c r="A59" s="82" t="inlineStr">
        <is>
          <t>Jul 22</t>
        </is>
      </c>
      <c r="B59" s="82" t="n">
        <v>104.6</v>
      </c>
      <c r="C59" s="82" t="n">
        <v>0</v>
      </c>
    </row>
    <row r="60">
      <c r="A60" s="82" t="inlineStr">
        <is>
          <t>Ago 22</t>
        </is>
      </c>
      <c r="B60" s="82" t="n">
        <v>110.3</v>
      </c>
      <c r="C60" s="82" t="n">
        <v>0.054493</v>
      </c>
    </row>
    <row r="61">
      <c r="A61" s="82" t="inlineStr">
        <is>
          <t>Sep 22</t>
        </is>
      </c>
      <c r="B61" s="82" t="n">
        <v>105</v>
      </c>
      <c r="C61" s="82" t="n">
        <v>-0.048051</v>
      </c>
    </row>
    <row r="62">
      <c r="A62" s="82" t="inlineStr">
        <is>
          <t>Oct 22</t>
        </is>
      </c>
      <c r="B62" s="82" t="n">
        <v>108.4</v>
      </c>
      <c r="C62" s="82" t="n">
        <v>0.032381</v>
      </c>
    </row>
    <row r="63">
      <c r="A63" s="82" t="inlineStr">
        <is>
          <t>Nov 22</t>
        </is>
      </c>
      <c r="B63" s="82" t="n">
        <v>107.4</v>
      </c>
      <c r="C63" s="82" t="n">
        <v>-0.009225000000000001</v>
      </c>
    </row>
    <row r="64">
      <c r="A64" s="82" t="inlineStr">
        <is>
          <t>Dic 22</t>
        </is>
      </c>
      <c r="B64" s="82" t="n">
        <v>103.3</v>
      </c>
      <c r="C64" s="82" t="n">
        <v>-0.038175</v>
      </c>
    </row>
    <row r="65">
      <c r="A65" s="82" t="inlineStr">
        <is>
          <t>Ene 23</t>
        </is>
      </c>
      <c r="B65" s="82" t="n">
        <v>106.8</v>
      </c>
      <c r="C65" s="82" t="n">
        <v>0.033882</v>
      </c>
    </row>
    <row r="66">
      <c r="A66" s="82" t="inlineStr">
        <is>
          <t>Feb 23</t>
        </is>
      </c>
      <c r="B66" s="82" t="n">
        <v>102.5</v>
      </c>
      <c r="C66" s="82" t="n">
        <v>-0.040262</v>
      </c>
    </row>
    <row r="67">
      <c r="A67" s="82" t="inlineStr">
        <is>
          <t>Mar 23</t>
        </is>
      </c>
      <c r="B67" s="82" t="n">
        <v>115.5</v>
      </c>
      <c r="C67" s="82" t="n">
        <v>0.126829</v>
      </c>
    </row>
    <row r="68">
      <c r="A68" s="82" t="inlineStr">
        <is>
          <t>Abr 23</t>
        </is>
      </c>
      <c r="B68" s="82" t="n">
        <v>107.3</v>
      </c>
      <c r="C68" s="82" t="n">
        <v>-0.070996</v>
      </c>
    </row>
    <row r="69">
      <c r="A69" s="82" t="inlineStr">
        <is>
          <t>May 23</t>
        </is>
      </c>
      <c r="B69" s="82" t="n">
        <v>111.5</v>
      </c>
      <c r="C69" s="82" t="n">
        <v>0.039143</v>
      </c>
    </row>
    <row r="70">
      <c r="A70" s="82" t="inlineStr">
        <is>
          <t>Jun 23</t>
        </is>
      </c>
      <c r="B70" s="82" t="n">
        <v>108.7</v>
      </c>
      <c r="C70" s="82" t="n">
        <v>-0.025112</v>
      </c>
    </row>
    <row r="71">
      <c r="A71" s="82" t="inlineStr">
        <is>
          <t>Jul 23</t>
        </is>
      </c>
      <c r="B71" s="82" t="n">
        <v>106.4</v>
      </c>
      <c r="C71" s="82" t="n">
        <v>-0.021159</v>
      </c>
    </row>
    <row r="72">
      <c r="A72" s="82" t="inlineStr">
        <is>
          <t>Ago 23</t>
        </is>
      </c>
      <c r="B72" s="82" t="n">
        <v>110</v>
      </c>
      <c r="C72" s="82" t="n">
        <v>0.033835</v>
      </c>
    </row>
    <row r="73">
      <c r="A73" s="82" t="inlineStr">
        <is>
          <t>Sep 23</t>
        </is>
      </c>
      <c r="B73" s="82" t="n">
        <v>107.2</v>
      </c>
      <c r="C73" s="82" t="n">
        <v>-0.025455</v>
      </c>
    </row>
    <row r="74">
      <c r="A74" s="82" t="inlineStr">
        <is>
          <t>Oct 23</t>
        </is>
      </c>
      <c r="B74" s="82" t="n">
        <v>109</v>
      </c>
      <c r="C74" s="82" t="n">
        <v>0.016791</v>
      </c>
    </row>
    <row r="75">
      <c r="A75" s="82" t="inlineStr">
        <is>
          <t>Nov 23</t>
        </is>
      </c>
      <c r="B75" s="82" t="n">
        <v>107</v>
      </c>
      <c r="C75" s="82" t="n">
        <v>-0.018349</v>
      </c>
    </row>
    <row r="76">
      <c r="A76" s="82" t="inlineStr">
        <is>
          <t>Dic 23</t>
        </is>
      </c>
      <c r="B76" s="82" t="n">
        <v>99.59999999999999</v>
      </c>
      <c r="C76" s="82" t="n">
        <v>-0.069159</v>
      </c>
    </row>
    <row r="77">
      <c r="A77" s="82" t="inlineStr">
        <is>
          <t>Ene 24</t>
        </is>
      </c>
      <c r="B77" s="82" t="n">
        <v>108.8</v>
      </c>
      <c r="C77" s="82" t="n">
        <v>0.09236900000000001</v>
      </c>
    </row>
    <row r="78">
      <c r="A78" s="82" t="inlineStr">
        <is>
          <t>Feb 24</t>
        </is>
      </c>
      <c r="B78" s="82" t="n">
        <v>107.5</v>
      </c>
      <c r="C78" s="82" t="n">
        <v>-0.011949</v>
      </c>
    </row>
    <row r="79">
      <c r="A79" s="82" t="inlineStr">
        <is>
          <t>Mar 24</t>
        </is>
      </c>
      <c r="B79" s="82" t="n">
        <v>111.2</v>
      </c>
      <c r="C79" s="82" t="n">
        <v>0.034419</v>
      </c>
    </row>
    <row r="80">
      <c r="A80" s="82" t="inlineStr">
        <is>
          <t>Abr 24</t>
        </is>
      </c>
      <c r="B80" s="82" t="n">
        <v>113.2</v>
      </c>
      <c r="C80" s="82" t="n">
        <v>0.017986</v>
      </c>
    </row>
    <row r="81">
      <c r="A81" s="82" t="inlineStr">
        <is>
          <t>May 24</t>
        </is>
      </c>
      <c r="B81" s="82" t="n">
        <v>111.5</v>
      </c>
      <c r="C81" s="82" t="n">
        <v>-0.015018</v>
      </c>
    </row>
    <row r="82">
      <c r="A82" s="82" t="inlineStr">
        <is>
          <t>Jun 24</t>
        </is>
      </c>
      <c r="B82" s="82" t="n">
        <v>108.5</v>
      </c>
      <c r="C82" s="82" t="n">
        <v>-0.026906</v>
      </c>
    </row>
    <row r="83">
      <c r="A83" s="82" t="inlineStr">
        <is>
          <t>Jul 24</t>
        </is>
      </c>
      <c r="B83" s="82" t="n">
        <v>110.3</v>
      </c>
      <c r="C83" s="82" t="n">
        <v>0.01659</v>
      </c>
    </row>
    <row r="84">
      <c r="A84" s="82" t="inlineStr">
        <is>
          <t>Ago 24</t>
        </is>
      </c>
      <c r="B84" s="82" t="n">
        <v>112.8</v>
      </c>
      <c r="C84" s="82" t="n">
        <v>0.022665</v>
      </c>
    </row>
    <row r="85">
      <c r="A85" s="82" t="inlineStr">
        <is>
          <t>Sep 24</t>
        </is>
      </c>
      <c r="B85" s="82" t="n">
        <v>109.9</v>
      </c>
      <c r="C85" s="82" t="n">
        <v>-0.025709</v>
      </c>
    </row>
    <row r="86">
      <c r="A86" s="82" t="inlineStr">
        <is>
          <t>Oct 24</t>
        </is>
      </c>
      <c r="B86" s="82" t="n">
        <v>112</v>
      </c>
      <c r="C86" s="82" t="n">
        <v>0.019108</v>
      </c>
    </row>
    <row r="87">
      <c r="A87" s="82" t="inlineStr">
        <is>
          <t>Nov 24</t>
        </is>
      </c>
      <c r="B87" s="82" t="n">
        <v>107.7</v>
      </c>
      <c r="C87" s="82" t="n">
        <v>-0.038393</v>
      </c>
    </row>
    <row r="88">
      <c r="A88" s="82" t="inlineStr">
        <is>
          <t>Dic 24</t>
        </is>
      </c>
      <c r="B88" s="82" t="n">
        <v>99.2</v>
      </c>
      <c r="C88" s="82" t="n">
        <v>-0.07892299999999999</v>
      </c>
    </row>
    <row r="89">
      <c r="A89" s="82" t="inlineStr">
        <is>
          <t>Ene 25</t>
        </is>
      </c>
      <c r="B89" s="82" t="n">
        <v>107.4</v>
      </c>
      <c r="C89" s="82" t="n">
        <v>0.082661</v>
      </c>
    </row>
    <row r="90">
      <c r="A90" s="82" t="inlineStr">
        <is>
          <t>Feb 25</t>
        </is>
      </c>
      <c r="B90" s="82" t="n">
        <v>106</v>
      </c>
      <c r="C90" s="82" t="n">
        <v>-0.013035</v>
      </c>
    </row>
    <row r="91">
      <c r="A91" s="82" t="inlineStr">
        <is>
          <t>Mar 25</t>
        </is>
      </c>
      <c r="B91" s="82" t="n">
        <v>113.5</v>
      </c>
      <c r="C91" s="82" t="n">
        <v>0.070755</v>
      </c>
    </row>
    <row r="92">
      <c r="A92" s="82" t="inlineStr">
        <is>
          <t>Abr 25</t>
        </is>
      </c>
      <c r="B92" s="82" t="n">
        <v>108.9</v>
      </c>
      <c r="C92" s="82" t="n">
        <v>-0.040529</v>
      </c>
    </row>
    <row r="93">
      <c r="A93" s="82" t="inlineStr">
        <is>
          <t>May 25</t>
        </is>
      </c>
      <c r="B93" s="82" t="n">
        <v>112.1</v>
      </c>
      <c r="C93" s="82" t="n">
        <v>0.029385</v>
      </c>
    </row>
    <row r="94">
      <c r="A94" s="82" t="inlineStr">
        <is>
          <t>Jun 25</t>
        </is>
      </c>
      <c r="B94" s="82" t="n">
        <v>111.9</v>
      </c>
      <c r="C94" s="82" t="n">
        <v>-0.001784</v>
      </c>
    </row>
    <row r="95">
      <c r="A95" s="82" t="inlineStr">
        <is>
          <t>Jul 25</t>
        </is>
      </c>
      <c r="B95" s="82" t="n">
        <v>110.2</v>
      </c>
      <c r="C95" s="82" t="n">
        <v>-0.015192</v>
      </c>
    </row>
    <row r="96">
      <c r="A96" s="82" t="inlineStr">
        <is>
          <t>Ago 25</t>
        </is>
      </c>
      <c r="B96" s="82" t="n">
        <v>109.4</v>
      </c>
      <c r="C96" s="82" t="n">
        <v>-0.00726</v>
      </c>
    </row>
    <row r="97">
      <c r="A97" s="82" t="inlineStr">
        <is>
          <t>Sep 25</t>
        </is>
      </c>
      <c r="B97" s="82" t="n">
        <v>109.1</v>
      </c>
      <c r="C97" s="82" t="n">
        <v>-0.002742</v>
      </c>
    </row>
    <row r="98">
      <c r="A98" s="82" t="inlineStr">
        <is>
          <t>Oct 25</t>
        </is>
      </c>
      <c r="B98" s="82" t="n">
        <v>112.9</v>
      </c>
      <c r="C98" s="82" t="n">
        <v>0.03483</v>
      </c>
    </row>
    <row r="99">
      <c r="A99" s="82" t="inlineStr">
        <is>
          <t>Nov 25</t>
        </is>
      </c>
      <c r="B99" s="82" t="n">
        <v>107.8</v>
      </c>
      <c r="C99" s="82" t="n">
        <v>-0.045173</v>
      </c>
    </row>
    <row r="100">
      <c r="A100" s="82" t="inlineStr">
        <is>
          <t>Dic 25</t>
        </is>
      </c>
      <c r="B100" s="82" t="n">
        <v>103.5</v>
      </c>
      <c r="C100" s="82" t="n">
        <v>-0.039889</v>
      </c>
    </row>
    <row r="101">
      <c r="A101" s="82" t="inlineStr">
        <is>
          <t>Ene 26</t>
        </is>
      </c>
      <c r="B101" s="82" t="n">
        <v>105.8</v>
      </c>
      <c r="C101" s="82" t="n">
        <v>0.022222</v>
      </c>
    </row>
    <row r="102">
      <c r="A102" s="82" t="inlineStr">
        <is>
          <t>Feb 26</t>
        </is>
      </c>
      <c r="B102" s="82" t="n">
        <v>107.1</v>
      </c>
      <c r="C102" s="82" t="n">
        <v>0.012287</v>
      </c>
    </row>
    <row r="103">
      <c r="A103" s="82" t="inlineStr">
        <is>
          <t>Mar 26</t>
        </is>
      </c>
      <c r="B103" s="82" t="n">
        <v>115.4</v>
      </c>
      <c r="C103" s="82" t="n">
        <v>0.077498</v>
      </c>
    </row>
    <row r="104">
      <c r="A104" s="82" t="inlineStr">
        <is>
          <t>Abr 26</t>
        </is>
      </c>
      <c r="B104" s="82" t="n">
        <v>111.2</v>
      </c>
      <c r="C104" s="82" t="n">
        <v>-0.036395</v>
      </c>
    </row>
    <row r="105">
      <c r="A105" s="82" t="inlineStr">
        <is>
          <t>May 26</t>
        </is>
      </c>
      <c r="B105" s="82" t="n">
        <v>110.4</v>
      </c>
      <c r="C105" s="82" t="n">
        <v>-0.007194</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0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Balanza Comercial de Mercancías de México</t>
        </is>
      </c>
    </row>
    <row r="2">
      <c r="A2" s="62" t="inlineStr">
        <is>
          <t>Fuente: INEGI · Frecuencia: Mensual · Unidad: Millones de dólares · Estado: ACTUALIZADO</t>
        </is>
      </c>
    </row>
    <row r="4">
      <c r="A4" s="63" t="inlineStr">
        <is>
          <t>Periodo</t>
        </is>
      </c>
      <c r="B4" s="63" t="inlineStr">
        <is>
          <t>Exportaciones</t>
        </is>
      </c>
      <c r="C4" s="63" t="inlineStr">
        <is>
          <t>Importaciones</t>
        </is>
      </c>
      <c r="D4" s="63" t="inlineStr">
        <is>
          <t>Saldo</t>
        </is>
      </c>
    </row>
    <row r="5">
      <c r="A5" s="82" t="inlineStr">
        <is>
          <t>Ene 18</t>
        </is>
      </c>
      <c r="B5" s="82" t="n">
        <v>30718.527</v>
      </c>
      <c r="C5" s="82" t="n">
        <v>35140.478</v>
      </c>
      <c r="D5" s="82" t="n">
        <v>-4421.951</v>
      </c>
    </row>
    <row r="6">
      <c r="A6" s="82" t="inlineStr">
        <is>
          <t>Feb 18</t>
        </is>
      </c>
      <c r="B6" s="82" t="n">
        <v>35093.793</v>
      </c>
      <c r="C6" s="82" t="n">
        <v>34149.86</v>
      </c>
      <c r="D6" s="82" t="n">
        <v>943.933</v>
      </c>
    </row>
    <row r="7">
      <c r="A7" s="82" t="inlineStr">
        <is>
          <t>Mar 18</t>
        </is>
      </c>
      <c r="B7" s="82" t="n">
        <v>39484.266</v>
      </c>
      <c r="C7" s="82" t="n">
        <v>37734.615</v>
      </c>
      <c r="D7" s="82" t="n">
        <v>1749.651</v>
      </c>
    </row>
    <row r="8">
      <c r="A8" s="82" t="inlineStr">
        <is>
          <t>Abr 18</t>
        </is>
      </c>
      <c r="B8" s="82" t="n">
        <v>37181.694</v>
      </c>
      <c r="C8" s="82" t="n">
        <v>37471.965</v>
      </c>
      <c r="D8" s="82" t="n">
        <v>-290.271</v>
      </c>
    </row>
    <row r="9">
      <c r="A9" s="82" t="inlineStr">
        <is>
          <t>May 18</t>
        </is>
      </c>
      <c r="B9" s="82" t="n">
        <v>39213.912</v>
      </c>
      <c r="C9" s="82" t="n">
        <v>40766.241</v>
      </c>
      <c r="D9" s="82" t="n">
        <v>-1552.329</v>
      </c>
    </row>
    <row r="10">
      <c r="A10" s="82" t="inlineStr">
        <is>
          <t>Jun 18</t>
        </is>
      </c>
      <c r="B10" s="82" t="n">
        <v>37483.508</v>
      </c>
      <c r="C10" s="82" t="n">
        <v>38383.337</v>
      </c>
      <c r="D10" s="82" t="n">
        <v>-899.829</v>
      </c>
    </row>
    <row r="11">
      <c r="A11" s="82" t="inlineStr">
        <is>
          <t>Jul 18</t>
        </is>
      </c>
      <c r="B11" s="82" t="n">
        <v>36742.212</v>
      </c>
      <c r="C11" s="82" t="n">
        <v>39612.118</v>
      </c>
      <c r="D11" s="82" t="n">
        <v>-2869.906</v>
      </c>
    </row>
    <row r="12">
      <c r="A12" s="82" t="inlineStr">
        <is>
          <t>Ago 18</t>
        </is>
      </c>
      <c r="B12" s="82" t="n">
        <v>39545.208</v>
      </c>
      <c r="C12" s="82" t="n">
        <v>42129.496</v>
      </c>
      <c r="D12" s="82" t="n">
        <v>-2584.288</v>
      </c>
    </row>
    <row r="13">
      <c r="A13" s="82" t="inlineStr">
        <is>
          <t>Sep 18</t>
        </is>
      </c>
      <c r="B13" s="82" t="n">
        <v>37700.602</v>
      </c>
      <c r="C13" s="82" t="n">
        <v>38001.683</v>
      </c>
      <c r="D13" s="82" t="n">
        <v>-301.081</v>
      </c>
    </row>
    <row r="14">
      <c r="A14" s="82" t="inlineStr">
        <is>
          <t>Oct 18</t>
        </is>
      </c>
      <c r="B14" s="82" t="n">
        <v>41356.07</v>
      </c>
      <c r="C14" s="82" t="n">
        <v>44290.891</v>
      </c>
      <c r="D14" s="82" t="n">
        <v>-2934.821</v>
      </c>
    </row>
    <row r="15">
      <c r="A15" s="82" t="inlineStr">
        <is>
          <t>Nov 18</t>
        </is>
      </c>
      <c r="B15" s="82" t="n">
        <v>38595.389</v>
      </c>
      <c r="C15" s="82" t="n">
        <v>40928.716</v>
      </c>
      <c r="D15" s="82" t="n">
        <v>-2333.327</v>
      </c>
    </row>
    <row r="16">
      <c r="A16" s="82" t="inlineStr">
        <is>
          <t>Dic 18</t>
        </is>
      </c>
      <c r="B16" s="82" t="n">
        <v>37597.547</v>
      </c>
      <c r="C16" s="82" t="n">
        <v>35692.967</v>
      </c>
      <c r="D16" s="82" t="n">
        <v>1904.58</v>
      </c>
    </row>
    <row r="17">
      <c r="A17" s="82" t="inlineStr">
        <is>
          <t>Ene 19</t>
        </is>
      </c>
      <c r="B17" s="82" t="n">
        <v>32637.22</v>
      </c>
      <c r="C17" s="82" t="n">
        <v>37262.788</v>
      </c>
      <c r="D17" s="82" t="n">
        <v>-4625.568</v>
      </c>
    </row>
    <row r="18">
      <c r="A18" s="82" t="inlineStr">
        <is>
          <t>Feb 19</t>
        </is>
      </c>
      <c r="B18" s="82" t="n">
        <v>36437.807</v>
      </c>
      <c r="C18" s="82" t="n">
        <v>35073.897</v>
      </c>
      <c r="D18" s="82" t="n">
        <v>1363.91</v>
      </c>
    </row>
    <row r="19">
      <c r="A19" s="82" t="inlineStr">
        <is>
          <t>Mar 19</t>
        </is>
      </c>
      <c r="B19" s="82" t="n">
        <v>39018.828</v>
      </c>
      <c r="C19" s="82" t="n">
        <v>37530.886</v>
      </c>
      <c r="D19" s="82" t="n">
        <v>1487.942</v>
      </c>
    </row>
    <row r="20">
      <c r="A20" s="82" t="inlineStr">
        <is>
          <t>Abr 19</t>
        </is>
      </c>
      <c r="B20" s="82" t="n">
        <v>39586.47</v>
      </c>
      <c r="C20" s="82" t="n">
        <v>38076.401</v>
      </c>
      <c r="D20" s="82" t="n">
        <v>1510.069</v>
      </c>
    </row>
    <row r="21">
      <c r="A21" s="82" t="inlineStr">
        <is>
          <t>May 19</t>
        </is>
      </c>
      <c r="B21" s="82" t="n">
        <v>41749.996</v>
      </c>
      <c r="C21" s="82" t="n">
        <v>40792.86</v>
      </c>
      <c r="D21" s="82" t="n">
        <v>957.136</v>
      </c>
    </row>
    <row r="22">
      <c r="A22" s="82" t="inlineStr">
        <is>
          <t>Jun 19</t>
        </is>
      </c>
      <c r="B22" s="82" t="n">
        <v>37924.986</v>
      </c>
      <c r="C22" s="82" t="n">
        <v>35382.744</v>
      </c>
      <c r="D22" s="82" t="n">
        <v>2542.242</v>
      </c>
    </row>
    <row r="23">
      <c r="A23" s="82" t="inlineStr">
        <is>
          <t>Jul 19</t>
        </is>
      </c>
      <c r="B23" s="82" t="n">
        <v>39115.793</v>
      </c>
      <c r="C23" s="82" t="n">
        <v>40406.335</v>
      </c>
      <c r="D23" s="82" t="n">
        <v>-1290.542</v>
      </c>
    </row>
    <row r="24">
      <c r="A24" s="82" t="inlineStr">
        <is>
          <t>Ago 19</t>
        </is>
      </c>
      <c r="B24" s="82" t="n">
        <v>40051.141</v>
      </c>
      <c r="C24" s="82" t="n">
        <v>39648.433</v>
      </c>
      <c r="D24" s="82" t="n">
        <v>402.708</v>
      </c>
    </row>
    <row r="25">
      <c r="A25" s="82" t="inlineStr">
        <is>
          <t>Sep 19</t>
        </is>
      </c>
      <c r="B25" s="82" t="n">
        <v>37180.583</v>
      </c>
      <c r="C25" s="82" t="n">
        <v>37332.184</v>
      </c>
      <c r="D25" s="82" t="n">
        <v>-151.601</v>
      </c>
    </row>
    <row r="26">
      <c r="A26" s="82" t="inlineStr">
        <is>
          <t>Oct 19</t>
        </is>
      </c>
      <c r="B26" s="82" t="n">
        <v>40762.123</v>
      </c>
      <c r="C26" s="82" t="n">
        <v>41449.532</v>
      </c>
      <c r="D26" s="82" t="n">
        <v>-687.409</v>
      </c>
    </row>
    <row r="27">
      <c r="A27" s="82" t="inlineStr">
        <is>
          <t>Nov 19</t>
        </is>
      </c>
      <c r="B27" s="82" t="n">
        <v>37484.491</v>
      </c>
      <c r="C27" s="82" t="n">
        <v>36697.66</v>
      </c>
      <c r="D27" s="82" t="n">
        <v>786.831</v>
      </c>
    </row>
    <row r="28">
      <c r="A28" s="82" t="inlineStr">
        <is>
          <t>Dic 19</t>
        </is>
      </c>
      <c r="B28" s="82" t="n">
        <v>38654.441</v>
      </c>
      <c r="C28" s="82" t="n">
        <v>35587.869</v>
      </c>
      <c r="D28" s="82" t="n">
        <v>3066.572</v>
      </c>
    </row>
    <row r="29">
      <c r="A29" s="82" t="inlineStr">
        <is>
          <t>Ene 20</t>
        </is>
      </c>
      <c r="B29" s="82" t="n">
        <v>33580.843</v>
      </c>
      <c r="C29" s="82" t="n">
        <v>36062</v>
      </c>
      <c r="D29" s="82" t="n">
        <v>-2481.157</v>
      </c>
    </row>
    <row r="30">
      <c r="A30" s="82" t="inlineStr">
        <is>
          <t>Feb 20</t>
        </is>
      </c>
      <c r="B30" s="82" t="n">
        <v>36433.717</v>
      </c>
      <c r="C30" s="82" t="n">
        <v>33715.379</v>
      </c>
      <c r="D30" s="82" t="n">
        <v>2718.338</v>
      </c>
    </row>
    <row r="31">
      <c r="A31" s="82" t="inlineStr">
        <is>
          <t>Mar 20</t>
        </is>
      </c>
      <c r="B31" s="82" t="n">
        <v>38310.269</v>
      </c>
      <c r="C31" s="82" t="n">
        <v>34995.932</v>
      </c>
      <c r="D31" s="82" t="n">
        <v>3314.337</v>
      </c>
    </row>
    <row r="32">
      <c r="A32" s="82" t="inlineStr">
        <is>
          <t>Abr 20</t>
        </is>
      </c>
      <c r="B32" s="82" t="n">
        <v>23222.658</v>
      </c>
      <c r="C32" s="82" t="n">
        <v>26457.052</v>
      </c>
      <c r="D32" s="82" t="n">
        <v>-3234.394</v>
      </c>
    </row>
    <row r="33">
      <c r="A33" s="82" t="inlineStr">
        <is>
          <t>May 20</t>
        </is>
      </c>
      <c r="B33" s="82" t="n">
        <v>18116.042</v>
      </c>
      <c r="C33" s="82" t="n">
        <v>21578.337</v>
      </c>
      <c r="D33" s="82" t="n">
        <v>-3462.295</v>
      </c>
    </row>
    <row r="34">
      <c r="A34" s="82" t="inlineStr">
        <is>
          <t>Jun 20</t>
        </is>
      </c>
      <c r="B34" s="82" t="n">
        <v>33047.725</v>
      </c>
      <c r="C34" s="82" t="n">
        <v>27512.168</v>
      </c>
      <c r="D34" s="82" t="n">
        <v>5535.557</v>
      </c>
    </row>
    <row r="35">
      <c r="A35" s="82" t="inlineStr">
        <is>
          <t>Jul 20</t>
        </is>
      </c>
      <c r="B35" s="82" t="n">
        <v>35499.49</v>
      </c>
      <c r="C35" s="82" t="n">
        <v>29844.448</v>
      </c>
      <c r="D35" s="82" t="n">
        <v>5655.042</v>
      </c>
    </row>
    <row r="36">
      <c r="A36" s="82" t="inlineStr">
        <is>
          <t>Ago 20</t>
        </is>
      </c>
      <c r="B36" s="82" t="n">
        <v>37001.121</v>
      </c>
      <c r="C36" s="82" t="n">
        <v>30845.723</v>
      </c>
      <c r="D36" s="82" t="n">
        <v>6155.398</v>
      </c>
    </row>
    <row r="37">
      <c r="A37" s="82" t="inlineStr">
        <is>
          <t>Sep 20</t>
        </is>
      </c>
      <c r="B37" s="82" t="n">
        <v>38539.74</v>
      </c>
      <c r="C37" s="82" t="n">
        <v>34142.602</v>
      </c>
      <c r="D37" s="82" t="n">
        <v>4397.138</v>
      </c>
    </row>
    <row r="38">
      <c r="A38" s="82" t="inlineStr">
        <is>
          <t>Oct 20</t>
        </is>
      </c>
      <c r="B38" s="82" t="n">
        <v>41950.815</v>
      </c>
      <c r="C38" s="82" t="n">
        <v>35694.81</v>
      </c>
      <c r="D38" s="82" t="n">
        <v>6256.005</v>
      </c>
    </row>
    <row r="39">
      <c r="A39" s="82" t="inlineStr">
        <is>
          <t>Nov 20</t>
        </is>
      </c>
      <c r="B39" s="82" t="n">
        <v>38313.68</v>
      </c>
      <c r="C39" s="82" t="n">
        <v>35257.525</v>
      </c>
      <c r="D39" s="82" t="n">
        <v>3056.155</v>
      </c>
    </row>
    <row r="40">
      <c r="A40" s="82" t="inlineStr">
        <is>
          <t>Dic 20</t>
        </is>
      </c>
      <c r="B40" s="82" t="n">
        <v>43154.635</v>
      </c>
      <c r="C40" s="82" t="n">
        <v>36879.948</v>
      </c>
      <c r="D40" s="82" t="n">
        <v>6274.687</v>
      </c>
    </row>
    <row r="41">
      <c r="A41" s="82" t="inlineStr">
        <is>
          <t>Ene 21</t>
        </is>
      </c>
      <c r="B41" s="82" t="n">
        <v>32716.091</v>
      </c>
      <c r="C41" s="82" t="n">
        <v>33910.702</v>
      </c>
      <c r="D41" s="82" t="n">
        <v>-1194.611</v>
      </c>
    </row>
    <row r="42">
      <c r="A42" s="82" t="inlineStr">
        <is>
          <t>Feb 21</t>
        </is>
      </c>
      <c r="B42" s="82" t="n">
        <v>36213.207</v>
      </c>
      <c r="C42" s="82" t="n">
        <v>33486.199</v>
      </c>
      <c r="D42" s="82" t="n">
        <v>2727.008</v>
      </c>
    </row>
    <row r="43">
      <c r="A43" s="82" t="inlineStr">
        <is>
          <t>Mar 21</t>
        </is>
      </c>
      <c r="B43" s="82" t="n">
        <v>43029.98</v>
      </c>
      <c r="C43" s="82" t="n">
        <v>45974.454</v>
      </c>
      <c r="D43" s="82" t="n">
        <v>-2944.474</v>
      </c>
    </row>
    <row r="44">
      <c r="A44" s="82" t="inlineStr">
        <is>
          <t>Abr 21</t>
        </is>
      </c>
      <c r="B44" s="82" t="n">
        <v>40944.531</v>
      </c>
      <c r="C44" s="82" t="n">
        <v>39259.65</v>
      </c>
      <c r="D44" s="82" t="n">
        <v>1684.881</v>
      </c>
    </row>
    <row r="45">
      <c r="A45" s="82" t="inlineStr">
        <is>
          <t>May 21</t>
        </is>
      </c>
      <c r="B45" s="82" t="n">
        <v>40845.6</v>
      </c>
      <c r="C45" s="82" t="n">
        <v>40458.684</v>
      </c>
      <c r="D45" s="82" t="n">
        <v>386.916</v>
      </c>
    </row>
    <row r="46">
      <c r="A46" s="82" t="inlineStr">
        <is>
          <t>Jun 21</t>
        </is>
      </c>
      <c r="B46" s="82" t="n">
        <v>42619.373</v>
      </c>
      <c r="C46" s="82" t="n">
        <v>41909.429</v>
      </c>
      <c r="D46" s="82" t="n">
        <v>709.944</v>
      </c>
    </row>
    <row r="47">
      <c r="A47" s="82" t="inlineStr">
        <is>
          <t>Jul 21</t>
        </is>
      </c>
      <c r="B47" s="82" t="n">
        <v>40952.956</v>
      </c>
      <c r="C47" s="82" t="n">
        <v>44950.628</v>
      </c>
      <c r="D47" s="82" t="n">
        <v>-3997.672</v>
      </c>
    </row>
    <row r="48">
      <c r="A48" s="82" t="inlineStr">
        <is>
          <t>Ago 21</t>
        </is>
      </c>
      <c r="B48" s="82" t="n">
        <v>40471.381</v>
      </c>
      <c r="C48" s="82" t="n">
        <v>44215.64</v>
      </c>
      <c r="D48" s="82" t="n">
        <v>-3744.259</v>
      </c>
    </row>
    <row r="49">
      <c r="A49" s="82" t="inlineStr">
        <is>
          <t>Sep 21</t>
        </is>
      </c>
      <c r="B49" s="82" t="n">
        <v>41754.363</v>
      </c>
      <c r="C49" s="82" t="n">
        <v>44078.456</v>
      </c>
      <c r="D49" s="82" t="n">
        <v>-2324.093</v>
      </c>
    </row>
    <row r="50">
      <c r="A50" s="82" t="inlineStr">
        <is>
          <t>Oct 21</t>
        </is>
      </c>
      <c r="B50" s="82" t="n">
        <v>41858.778</v>
      </c>
      <c r="C50" s="82" t="n">
        <v>44658.126</v>
      </c>
      <c r="D50" s="82" t="n">
        <v>-2799.348</v>
      </c>
    </row>
    <row r="51">
      <c r="A51" s="82" t="inlineStr">
        <is>
          <t>Nov 21</t>
        </is>
      </c>
      <c r="B51" s="82" t="n">
        <v>45676.554</v>
      </c>
      <c r="C51" s="82" t="n">
        <v>45698.67</v>
      </c>
      <c r="D51" s="82" t="n">
        <v>-22.116</v>
      </c>
    </row>
    <row r="52">
      <c r="A52" s="82" t="inlineStr">
        <is>
          <t>Dic 21</t>
        </is>
      </c>
      <c r="B52" s="82" t="n">
        <v>47866.2</v>
      </c>
      <c r="C52" s="82" t="n">
        <v>47102.458</v>
      </c>
      <c r="D52" s="82" t="n">
        <v>763.742</v>
      </c>
    </row>
    <row r="53">
      <c r="A53" s="82" t="inlineStr">
        <is>
          <t>Ene 22</t>
        </is>
      </c>
      <c r="B53" s="82" t="n">
        <v>33923.041</v>
      </c>
      <c r="C53" s="82" t="n">
        <v>40185.365</v>
      </c>
      <c r="D53" s="82" t="n">
        <v>-6262.324</v>
      </c>
    </row>
    <row r="54">
      <c r="A54" s="82" t="inlineStr">
        <is>
          <t>Feb 22</t>
        </is>
      </c>
      <c r="B54" s="82" t="n">
        <v>46288.481</v>
      </c>
      <c r="C54" s="82" t="n">
        <v>44953.077</v>
      </c>
      <c r="D54" s="82" t="n">
        <v>1335.404</v>
      </c>
    </row>
    <row r="55">
      <c r="A55" s="82" t="inlineStr">
        <is>
          <t>Mar 22</t>
        </is>
      </c>
      <c r="B55" s="82" t="n">
        <v>51948.842</v>
      </c>
      <c r="C55" s="82" t="n">
        <v>51801.683</v>
      </c>
      <c r="D55" s="82" t="n">
        <v>147.159</v>
      </c>
    </row>
    <row r="56">
      <c r="A56" s="82" t="inlineStr">
        <is>
          <t>Abr 22</t>
        </is>
      </c>
      <c r="B56" s="82" t="n">
        <v>47580.499</v>
      </c>
      <c r="C56" s="82" t="n">
        <v>49363.532</v>
      </c>
      <c r="D56" s="82" t="n">
        <v>-1783.033</v>
      </c>
    </row>
    <row r="57">
      <c r="A57" s="82" t="inlineStr">
        <is>
          <t>May 22</t>
        </is>
      </c>
      <c r="B57" s="82" t="n">
        <v>49964.741</v>
      </c>
      <c r="C57" s="82" t="n">
        <v>52220.452</v>
      </c>
      <c r="D57" s="82" t="n">
        <v>-2255.711</v>
      </c>
    </row>
    <row r="58">
      <c r="A58" s="82" t="inlineStr">
        <is>
          <t>Jun 22</t>
        </is>
      </c>
      <c r="B58" s="82" t="n">
        <v>51220.139</v>
      </c>
      <c r="C58" s="82" t="n">
        <v>55191.302</v>
      </c>
      <c r="D58" s="82" t="n">
        <v>-3971.163</v>
      </c>
    </row>
    <row r="59">
      <c r="A59" s="82" t="inlineStr">
        <is>
          <t>Jul 22</t>
        </is>
      </c>
      <c r="B59" s="82" t="n">
        <v>46216.526</v>
      </c>
      <c r="C59" s="82" t="n">
        <v>52463.962</v>
      </c>
      <c r="D59" s="82" t="n">
        <v>-6247.436</v>
      </c>
    </row>
    <row r="60">
      <c r="A60" s="82" t="inlineStr">
        <is>
          <t>Ago 22</t>
        </is>
      </c>
      <c r="B60" s="82" t="n">
        <v>50464.229</v>
      </c>
      <c r="C60" s="82" t="n">
        <v>56168.196</v>
      </c>
      <c r="D60" s="82" t="n">
        <v>-5703.967</v>
      </c>
    </row>
    <row r="61">
      <c r="A61" s="82" t="inlineStr">
        <is>
          <t>Sep 22</t>
        </is>
      </c>
      <c r="B61" s="82" t="n">
        <v>52323.438</v>
      </c>
      <c r="C61" s="82" t="n">
        <v>53520.102</v>
      </c>
      <c r="D61" s="82" t="n">
        <v>-1196.664</v>
      </c>
    </row>
    <row r="62">
      <c r="A62" s="82" t="inlineStr">
        <is>
          <t>Oct 22</t>
        </is>
      </c>
      <c r="B62" s="82" t="n">
        <v>49199.055</v>
      </c>
      <c r="C62" s="82" t="n">
        <v>51861.889</v>
      </c>
      <c r="D62" s="82" t="n">
        <v>-2662.834</v>
      </c>
    </row>
    <row r="63">
      <c r="A63" s="82" t="inlineStr">
        <is>
          <t>Nov 22</t>
        </is>
      </c>
      <c r="B63" s="82" t="n">
        <v>49249.147</v>
      </c>
      <c r="C63" s="82" t="n">
        <v>49699.319</v>
      </c>
      <c r="D63" s="82" t="n">
        <v>-450.172</v>
      </c>
    </row>
    <row r="64">
      <c r="A64" s="82" t="inlineStr">
        <is>
          <t>Dic 22</t>
        </is>
      </c>
      <c r="B64" s="82" t="n">
        <v>49319.342</v>
      </c>
      <c r="C64" s="82" t="n">
        <v>48376.487</v>
      </c>
      <c r="D64" s="82" t="n">
        <v>942.855</v>
      </c>
    </row>
    <row r="65">
      <c r="A65" s="82" t="inlineStr">
        <is>
          <t>Ene 23</t>
        </is>
      </c>
      <c r="B65" s="82" t="n">
        <v>42609.734</v>
      </c>
      <c r="C65" s="82" t="n">
        <v>46739.068</v>
      </c>
      <c r="D65" s="82" t="n">
        <v>-4129.334</v>
      </c>
    </row>
    <row r="66">
      <c r="A66" s="82" t="inlineStr">
        <is>
          <t>Feb 23</t>
        </is>
      </c>
      <c r="B66" s="82" t="n">
        <v>44891.18</v>
      </c>
      <c r="C66" s="82" t="n">
        <v>46877.022</v>
      </c>
      <c r="D66" s="82" t="n">
        <v>-1985.842</v>
      </c>
    </row>
    <row r="67">
      <c r="A67" s="82" t="inlineStr">
        <is>
          <t>Mar 23</t>
        </is>
      </c>
      <c r="B67" s="82" t="n">
        <v>53564.189</v>
      </c>
      <c r="C67" s="82" t="n">
        <v>52403.727</v>
      </c>
      <c r="D67" s="82" t="n">
        <v>1160.462</v>
      </c>
    </row>
    <row r="68">
      <c r="A68" s="82" t="inlineStr">
        <is>
          <t>Abr 23</t>
        </is>
      </c>
      <c r="B68" s="82" t="n">
        <v>46086.56</v>
      </c>
      <c r="C68" s="82" t="n">
        <v>47732.749</v>
      </c>
      <c r="D68" s="82" t="n">
        <v>-1646.189</v>
      </c>
    </row>
    <row r="69">
      <c r="A69" s="82" t="inlineStr">
        <is>
          <t>May 23</t>
        </is>
      </c>
      <c r="B69" s="82" t="n">
        <v>52835.329</v>
      </c>
      <c r="C69" s="82" t="n">
        <v>53029.653</v>
      </c>
      <c r="D69" s="82" t="n">
        <v>-194.324</v>
      </c>
    </row>
    <row r="70">
      <c r="A70" s="82" t="inlineStr">
        <is>
          <t>Jun 23</t>
        </is>
      </c>
      <c r="B70" s="82" t="n">
        <v>51820.219</v>
      </c>
      <c r="C70" s="82" t="n">
        <v>52006.715</v>
      </c>
      <c r="D70" s="82" t="n">
        <v>-186.496</v>
      </c>
    </row>
    <row r="71">
      <c r="A71" s="82" t="inlineStr">
        <is>
          <t>Jul 23</t>
        </is>
      </c>
      <c r="B71" s="82" t="n">
        <v>47786.853</v>
      </c>
      <c r="C71" s="82" t="n">
        <v>48627.636</v>
      </c>
      <c r="D71" s="82" t="n">
        <v>-840.783</v>
      </c>
    </row>
    <row r="72">
      <c r="A72" s="82" t="inlineStr">
        <is>
          <t>Ago 23</t>
        </is>
      </c>
      <c r="B72" s="82" t="n">
        <v>52458.59</v>
      </c>
      <c r="C72" s="82" t="n">
        <v>54575.454</v>
      </c>
      <c r="D72" s="82" t="n">
        <v>-2116.864</v>
      </c>
    </row>
    <row r="73">
      <c r="A73" s="82" t="inlineStr">
        <is>
          <t>Sep 23</t>
        </is>
      </c>
      <c r="B73" s="82" t="n">
        <v>49642.255</v>
      </c>
      <c r="C73" s="82" t="n">
        <v>52303.579</v>
      </c>
      <c r="D73" s="82" t="n">
        <v>-2661.324</v>
      </c>
    </row>
    <row r="74">
      <c r="A74" s="82" t="inlineStr">
        <is>
          <t>Oct 23</t>
        </is>
      </c>
      <c r="B74" s="82" t="n">
        <v>51856.871</v>
      </c>
      <c r="C74" s="82" t="n">
        <v>53663.09</v>
      </c>
      <c r="D74" s="82" t="n">
        <v>-1806.219</v>
      </c>
    </row>
    <row r="75">
      <c r="A75" s="82" t="inlineStr">
        <is>
          <t>Nov 23</t>
        </is>
      </c>
      <c r="B75" s="82" t="n">
        <v>50171.872</v>
      </c>
      <c r="C75" s="82" t="n">
        <v>50942.41</v>
      </c>
      <c r="D75" s="82" t="n">
        <v>-770.538</v>
      </c>
    </row>
    <row r="76">
      <c r="A76" s="82" t="inlineStr">
        <is>
          <t>Dic 23</t>
        </is>
      </c>
      <c r="B76" s="82" t="n">
        <v>49277.811</v>
      </c>
      <c r="C76" s="82" t="n">
        <v>46378.863</v>
      </c>
      <c r="D76" s="82" t="n">
        <v>2898.948</v>
      </c>
    </row>
    <row r="77">
      <c r="A77" s="82" t="inlineStr">
        <is>
          <t>Ene 24</t>
        </is>
      </c>
      <c r="B77" s="82" t="n">
        <v>42135.801</v>
      </c>
      <c r="C77" s="82" t="n">
        <v>47219.837</v>
      </c>
      <c r="D77" s="82" t="n">
        <v>-5084.036</v>
      </c>
    </row>
    <row r="78">
      <c r="A78" s="82" t="inlineStr">
        <is>
          <t>Feb 24</t>
        </is>
      </c>
      <c r="B78" s="82" t="n">
        <v>50794.819</v>
      </c>
      <c r="C78" s="82" t="n">
        <v>52224.739</v>
      </c>
      <c r="D78" s="82" t="n">
        <v>-1429.92</v>
      </c>
    </row>
    <row r="79">
      <c r="A79" s="82" t="inlineStr">
        <is>
          <t>Mar 24</t>
        </is>
      </c>
      <c r="B79" s="82" t="n">
        <v>50645.665</v>
      </c>
      <c r="C79" s="82" t="n">
        <v>49111.325</v>
      </c>
      <c r="D79" s="82" t="n">
        <v>1534.34</v>
      </c>
    </row>
    <row r="80">
      <c r="A80" s="82" t="inlineStr">
        <is>
          <t>Abr 24</t>
        </is>
      </c>
      <c r="B80" s="82" t="n">
        <v>51522.649</v>
      </c>
      <c r="C80" s="82" t="n">
        <v>55943.361</v>
      </c>
      <c r="D80" s="82" t="n">
        <v>-4420.712</v>
      </c>
    </row>
    <row r="81">
      <c r="A81" s="82" t="inlineStr">
        <is>
          <t>May 24</t>
        </is>
      </c>
      <c r="B81" s="82" t="n">
        <v>55754.041</v>
      </c>
      <c r="C81" s="82" t="n">
        <v>54863.065</v>
      </c>
      <c r="D81" s="82" t="n">
        <v>890.976</v>
      </c>
    </row>
    <row r="82">
      <c r="A82" s="82" t="inlineStr">
        <is>
          <t>Jun 24</t>
        </is>
      </c>
      <c r="B82" s="82" t="n">
        <v>48824.268</v>
      </c>
      <c r="C82" s="82" t="n">
        <v>51230.591</v>
      </c>
      <c r="D82" s="82" t="n">
        <v>-2406.323</v>
      </c>
    </row>
    <row r="83">
      <c r="A83" s="82" t="inlineStr">
        <is>
          <t>Jul 24</t>
        </is>
      </c>
      <c r="B83" s="82" t="n">
        <v>54550.711</v>
      </c>
      <c r="C83" s="82" t="n">
        <v>55771.222</v>
      </c>
      <c r="D83" s="82" t="n">
        <v>-1220.511</v>
      </c>
    </row>
    <row r="84">
      <c r="A84" s="82" t="inlineStr">
        <is>
          <t>Ago 24</t>
        </is>
      </c>
      <c r="B84" s="82" t="n">
        <v>51902.528</v>
      </c>
      <c r="C84" s="82" t="n">
        <v>57747.196</v>
      </c>
      <c r="D84" s="82" t="n">
        <v>-5844.668</v>
      </c>
    </row>
    <row r="85">
      <c r="A85" s="82" t="inlineStr">
        <is>
          <t>Sep 24</t>
        </is>
      </c>
      <c r="B85" s="82" t="n">
        <v>49629.743</v>
      </c>
      <c r="C85" s="82" t="n">
        <v>51120.789</v>
      </c>
      <c r="D85" s="82" t="n">
        <v>-1491.046</v>
      </c>
    </row>
    <row r="86">
      <c r="A86" s="82" t="inlineStr">
        <is>
          <t>Oct 24</t>
        </is>
      </c>
      <c r="B86" s="82" t="n">
        <v>57897.71</v>
      </c>
      <c r="C86" s="82" t="n">
        <v>58109.034</v>
      </c>
      <c r="D86" s="82" t="n">
        <v>-211.324</v>
      </c>
    </row>
    <row r="87">
      <c r="A87" s="82" t="inlineStr">
        <is>
          <t>Nov 24</t>
        </is>
      </c>
      <c r="B87" s="82" t="n">
        <v>52264.794</v>
      </c>
      <c r="C87" s="82" t="n">
        <v>52971.031</v>
      </c>
      <c r="D87" s="82" t="n">
        <v>-706.237</v>
      </c>
    </row>
    <row r="88">
      <c r="A88" s="82" t="inlineStr">
        <is>
          <t>Dic 24</t>
        </is>
      </c>
      <c r="B88" s="82" t="n">
        <v>51754.359</v>
      </c>
      <c r="C88" s="82" t="n">
        <v>49905.838</v>
      </c>
      <c r="D88" s="82" t="n">
        <v>1848.521</v>
      </c>
    </row>
    <row r="89">
      <c r="A89" s="82" t="inlineStr">
        <is>
          <t>Ene 25</t>
        </is>
      </c>
      <c r="B89" s="82" t="n">
        <v>44398.267</v>
      </c>
      <c r="C89" s="82" t="n">
        <v>49611.476</v>
      </c>
      <c r="D89" s="82" t="n">
        <v>-5213.209</v>
      </c>
    </row>
    <row r="90">
      <c r="A90" s="82" t="inlineStr">
        <is>
          <t>Feb 25</t>
        </is>
      </c>
      <c r="B90" s="82" t="n">
        <v>49098.535</v>
      </c>
      <c r="C90" s="82" t="n">
        <v>47444.307</v>
      </c>
      <c r="D90" s="82" t="n">
        <v>1654.228</v>
      </c>
    </row>
    <row r="91">
      <c r="A91" s="82" t="inlineStr">
        <is>
          <t>Mar 25</t>
        </is>
      </c>
      <c r="B91" s="82" t="n">
        <v>55404.972</v>
      </c>
      <c r="C91" s="82" t="n">
        <v>52115.201</v>
      </c>
      <c r="D91" s="82" t="n">
        <v>3289.771</v>
      </c>
    </row>
    <row r="92">
      <c r="A92" s="82" t="inlineStr">
        <is>
          <t>Abr 25</t>
        </is>
      </c>
      <c r="B92" s="82" t="n">
        <v>54347.764</v>
      </c>
      <c r="C92" s="82" t="n">
        <v>54392.226</v>
      </c>
      <c r="D92" s="82" t="n">
        <v>-44.462</v>
      </c>
    </row>
    <row r="93">
      <c r="A93" s="82" t="inlineStr">
        <is>
          <t>May 25</t>
        </is>
      </c>
      <c r="B93" s="82" t="n">
        <v>55476.735</v>
      </c>
      <c r="C93" s="82" t="n">
        <v>54244.911</v>
      </c>
      <c r="D93" s="82" t="n">
        <v>1231.824</v>
      </c>
    </row>
    <row r="94">
      <c r="A94" s="82" t="inlineStr">
        <is>
          <t>Jun 25</t>
        </is>
      </c>
      <c r="B94" s="82" t="n">
        <v>54001.827</v>
      </c>
      <c r="C94" s="82" t="n">
        <v>53487.398</v>
      </c>
      <c r="D94" s="82" t="n">
        <v>514.429</v>
      </c>
    </row>
    <row r="95">
      <c r="A95" s="82" t="inlineStr">
        <is>
          <t>Jul 25</t>
        </is>
      </c>
      <c r="B95" s="82" t="n">
        <v>56707.774</v>
      </c>
      <c r="C95" s="82" t="n">
        <v>56724.468</v>
      </c>
      <c r="D95" s="82" t="n">
        <v>-16.694</v>
      </c>
    </row>
    <row r="96">
      <c r="A96" s="82" t="inlineStr">
        <is>
          <t>Ago 25</t>
        </is>
      </c>
      <c r="B96" s="82" t="n">
        <v>55718.184</v>
      </c>
      <c r="C96" s="82" t="n">
        <v>57662.068</v>
      </c>
      <c r="D96" s="82" t="n">
        <v>-1943.884</v>
      </c>
    </row>
    <row r="97">
      <c r="A97" s="82" t="inlineStr">
        <is>
          <t>Sep 25</t>
        </is>
      </c>
      <c r="B97" s="82" t="n">
        <v>56487.938</v>
      </c>
      <c r="C97" s="82" t="n">
        <v>58887.475</v>
      </c>
      <c r="D97" s="82" t="n">
        <v>-2399.537</v>
      </c>
    </row>
    <row r="98">
      <c r="A98" s="82" t="inlineStr">
        <is>
          <t>Oct 25</t>
        </is>
      </c>
      <c r="B98" s="82" t="n">
        <v>66132.55100000001</v>
      </c>
      <c r="C98" s="82" t="n">
        <v>65526.483</v>
      </c>
      <c r="D98" s="82" t="n">
        <v>606.068</v>
      </c>
    </row>
    <row r="99">
      <c r="A99" s="82" t="inlineStr">
        <is>
          <t>Nov 25</t>
        </is>
      </c>
      <c r="B99" s="82" t="n">
        <v>56411.894</v>
      </c>
      <c r="C99" s="82" t="n">
        <v>55749.102</v>
      </c>
      <c r="D99" s="82" t="n">
        <v>662.792</v>
      </c>
    </row>
    <row r="100">
      <c r="A100" s="82" t="inlineStr">
        <is>
          <t>Dic 25</t>
        </is>
      </c>
      <c r="B100" s="82" t="n">
        <v>60650.727</v>
      </c>
      <c r="C100" s="82" t="n">
        <v>58221.107</v>
      </c>
      <c r="D100" s="82" t="n">
        <v>2429.62</v>
      </c>
    </row>
    <row r="101">
      <c r="A101" s="82" t="inlineStr">
        <is>
          <t>Ene 26</t>
        </is>
      </c>
      <c r="B101" s="82" t="n">
        <v>48007.823</v>
      </c>
      <c r="C101" s="82" t="n">
        <v>54488.877</v>
      </c>
      <c r="D101" s="82" t="n">
        <v>-6481.054</v>
      </c>
    </row>
    <row r="102">
      <c r="A102" s="82" t="inlineStr">
        <is>
          <t>Feb 26</t>
        </is>
      </c>
      <c r="B102" s="82" t="n">
        <v>56851.119</v>
      </c>
      <c r="C102" s="82" t="n">
        <v>57313.897</v>
      </c>
      <c r="D102" s="82" t="n">
        <v>-462.778</v>
      </c>
    </row>
    <row r="103">
      <c r="A103" s="82" t="inlineStr">
        <is>
          <t>Mar 26</t>
        </is>
      </c>
      <c r="B103" s="82" t="n">
        <v>70727.019</v>
      </c>
      <c r="C103" s="82" t="n">
        <v>64795.021</v>
      </c>
      <c r="D103" s="82" t="n">
        <v>5931.998</v>
      </c>
    </row>
    <row r="104">
      <c r="A104" s="82" t="inlineStr">
        <is>
          <t>Abr 26</t>
        </is>
      </c>
      <c r="B104" s="82" t="n">
        <v>72041.829</v>
      </c>
      <c r="C104" s="82" t="n">
        <v>67521.798</v>
      </c>
      <c r="D104" s="82" t="n">
        <v>4520.031</v>
      </c>
    </row>
    <row r="105">
      <c r="A105" s="82" t="inlineStr">
        <is>
          <t>May 26</t>
        </is>
      </c>
      <c r="B105" s="82" t="n">
        <v>69544.49099999999</v>
      </c>
      <c r="C105" s="82" t="n">
        <v>67285.323</v>
      </c>
      <c r="D105" s="82" t="n">
        <v>2259.168</v>
      </c>
    </row>
    <row r="106">
      <c r="A106" s="82" t="inlineStr">
        <is>
          <t>Jun 26</t>
        </is>
      </c>
      <c r="B106" s="82" t="n">
        <v>72551.015</v>
      </c>
      <c r="C106" s="82" t="n">
        <v>68461.11900000001</v>
      </c>
      <c r="D106" s="82" t="n">
        <v>4089.896</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19"/>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83" t="inlineStr">
        <is>
          <t>Producto Interno Bruto</t>
        </is>
      </c>
      <c r="B4" s="83" t="inlineStr">
        <is>
          <t>INEGI</t>
        </is>
      </c>
      <c r="C4" s="83" t="inlineStr">
        <is>
          <t>737375</t>
        </is>
      </c>
      <c r="D4" s="83" t="inlineStr">
        <is>
          <t>Millones de pesos (a precios de 2018)</t>
        </is>
      </c>
      <c r="E4" s="83" t="inlineStr">
        <is>
          <t>Serie original; la variación trimestral y anual proviene de la serie desestacionalizada publicada por el INEGI</t>
        </is>
      </c>
      <c r="F4" s="83" t="inlineStr">
        <is>
          <t>Trimestral</t>
        </is>
      </c>
      <c r="G4" s="83" t="inlineStr">
        <is>
          <t>INEGI BIE API</t>
        </is>
      </c>
      <c r="H4" s="83" t="inlineStr">
        <is>
          <t>https://www.inegi.org.mx/app/indicadores/?tm=3&amp;t=605598#D737375</t>
        </is>
      </c>
    </row>
    <row r="5">
      <c r="A5" s="84" t="inlineStr">
        <is>
          <t>Producto Interno Bruto por sector de actividad</t>
        </is>
      </c>
      <c r="B5" s="84" t="inlineStr">
        <is>
          <t>INEGI</t>
        </is>
      </c>
      <c r="C5" s="84" t="inlineStr">
        <is>
          <t>735888</t>
        </is>
      </c>
      <c r="D5" s="84" t="inlineStr">
        <is>
          <t>Millones de pesos (a precios de 2018)</t>
        </is>
      </c>
      <c r="E5" s="84" t="inlineStr">
        <is>
          <t>Serie original; la variación trimestral y anual de terciarias proviene de la serie desestacionalizada publicada por el INEGI</t>
        </is>
      </c>
      <c r="F5" s="84" t="inlineStr">
        <is>
          <t>Trimestral</t>
        </is>
      </c>
      <c r="G5" s="84" t="inlineStr">
        <is>
          <t>INEGI BIE API</t>
        </is>
      </c>
      <c r="H5" s="84" t="inlineStr">
        <is>
          <t>https://www.inegi.org.mx/app/indicadores/?tm=3&amp;t=600267#D735888</t>
        </is>
      </c>
    </row>
    <row r="6">
      <c r="A6" s="83" t="inlineStr">
        <is>
          <t>Indicador Global de la Actividad Económica</t>
        </is>
      </c>
      <c r="B6" s="83" t="inlineStr">
        <is>
          <t>INEGI</t>
        </is>
      </c>
      <c r="C6" s="83" t="inlineStr">
        <is>
          <t>737121</t>
        </is>
      </c>
      <c r="D6" s="83" t="inlineStr">
        <is>
          <t>Índice base 2018=100</t>
        </is>
      </c>
      <c r="E6" s="83" t="inlineStr">
        <is>
          <t>Serie original; la variación mensual y anual proviene de la serie desestacionalizada publicada por el INEGI</t>
        </is>
      </c>
      <c r="F6" s="83" t="inlineStr">
        <is>
          <t>Mensual</t>
        </is>
      </c>
      <c r="G6" s="83" t="inlineStr">
        <is>
          <t>INEGI BIE API</t>
        </is>
      </c>
      <c r="H6" s="83" t="inlineStr">
        <is>
          <t>https://www.inegi.org.mx/app/indicadores/?tm=3&amp;t=603589#D737121</t>
        </is>
      </c>
    </row>
    <row r="7">
      <c r="A7" s="84" t="inlineStr">
        <is>
          <t>Indicador Mensual de la Actividad Industrial</t>
        </is>
      </c>
      <c r="B7" s="84" t="inlineStr">
        <is>
          <t>INEGI</t>
        </is>
      </c>
      <c r="C7" s="84" t="inlineStr">
        <is>
          <t>737234</t>
        </is>
      </c>
      <c r="D7" s="84" t="inlineStr">
        <is>
          <t>Índice base 2018=100</t>
        </is>
      </c>
      <c r="E7" s="84" t="inlineStr">
        <is>
          <t>Serie original</t>
        </is>
      </c>
      <c r="F7" s="84" t="inlineStr">
        <is>
          <t>Mensual</t>
        </is>
      </c>
      <c r="G7" s="84" t="inlineStr">
        <is>
          <t>INEGI BIE API</t>
        </is>
      </c>
      <c r="H7" s="84" t="inlineStr">
        <is>
          <t>https://www.inegi.org.mx/app/indicadores/?tm=3&amp;t=603729#D737234</t>
        </is>
      </c>
    </row>
    <row r="8">
      <c r="A8" s="83" t="inlineStr">
        <is>
          <t>Balanza Comercial de Mercancías de México</t>
        </is>
      </c>
      <c r="B8" s="83" t="inlineStr">
        <is>
          <t>INEGI</t>
        </is>
      </c>
      <c r="C8" s="83" t="inlineStr">
        <is>
          <t>33226</t>
        </is>
      </c>
      <c r="D8" s="83" t="inlineStr">
        <is>
          <t>Millones de dólares</t>
        </is>
      </c>
      <c r="E8" s="83" t="inlineStr">
        <is>
          <t>Serie original</t>
        </is>
      </c>
      <c r="F8" s="83" t="inlineStr">
        <is>
          <t>Mensual</t>
        </is>
      </c>
      <c r="G8" s="83" t="inlineStr">
        <is>
          <t>INEGI BIE API</t>
        </is>
      </c>
      <c r="H8" s="83" t="inlineStr">
        <is>
          <t>https://www.inegi.org.mx/app/indicadores/?tm=3&amp;t=36695#D33226</t>
        </is>
      </c>
    </row>
    <row r="9">
      <c r="A9" s="84" t="inlineStr">
        <is>
          <t>Tasa de desocupación</t>
        </is>
      </c>
      <c r="B9" s="84" t="inlineStr">
        <is>
          <t>INEGI — Encuesta Nacional de Ocupación y Empleo (ENOE/ENOEN)</t>
        </is>
      </c>
      <c r="C9" s="84" t="inlineStr">
        <is>
          <t>444603</t>
        </is>
      </c>
      <c r="D9" s="84" t="inlineStr">
        <is>
          <t>Porcentaje de la PEA</t>
        </is>
      </c>
      <c r="E9" s="84" t="inlineStr">
        <is>
          <t>Serie original</t>
        </is>
      </c>
      <c r="F9" s="84" t="inlineStr">
        <is>
          <t>Mensual</t>
        </is>
      </c>
      <c r="G9" s="84" t="inlineStr">
        <is>
          <t>INEGI BIE API</t>
        </is>
      </c>
      <c r="H9" s="84" t="inlineStr">
        <is>
          <t>https://www.inegi.org.mx/app/indicadores/?tm=3&amp;t=4#D444603</t>
        </is>
      </c>
    </row>
    <row r="10">
      <c r="A10" s="83" t="inlineStr">
        <is>
          <t>Índice de Precios al Consumidor</t>
        </is>
      </c>
      <c r="B10" s="83" t="inlineStr">
        <is>
          <t>INEGI</t>
        </is>
      </c>
      <c r="C10" s="83" t="inlineStr">
        <is>
          <t>334452</t>
        </is>
      </c>
      <c r="D10" s="83" t="inlineStr">
        <is>
          <t>Variación anual (%)</t>
        </is>
      </c>
      <c r="E10" s="83" t="inlineStr">
        <is>
          <t>No aplica</t>
        </is>
      </c>
      <c r="F10" s="83" t="inlineStr">
        <is>
          <t>Mensual</t>
        </is>
      </c>
      <c r="G10" s="83" t="inlineStr">
        <is>
          <t>INEGI BIE API</t>
        </is>
      </c>
      <c r="H10" s="83" t="inlineStr">
        <is>
          <t>https://www.inegi.org.mx/app/indicadores/?tm=3&amp;t=682416#D334452</t>
        </is>
      </c>
    </row>
    <row r="11">
      <c r="A11" s="84" t="inlineStr">
        <is>
          <t>Indicador mensual del consumo privado</t>
        </is>
      </c>
      <c r="B11" s="84" t="inlineStr">
        <is>
          <t>INEGI</t>
        </is>
      </c>
      <c r="C11" s="84" t="inlineStr">
        <is>
          <t>CONSUMO_pdf</t>
        </is>
      </c>
      <c r="D11" s="84" t="inlineStr">
        <is>
          <t>Índice base 2018=100</t>
        </is>
      </c>
      <c r="E11" s="84" t="inlineStr">
        <is>
          <t>Serie desestacionalizada; índice y variaciones oficiales del boletín del INEGI</t>
        </is>
      </c>
      <c r="F11" s="84" t="inlineStr">
        <is>
          <t>Mensual</t>
        </is>
      </c>
      <c r="G11" s="84" t="inlineStr">
        <is>
          <t>INEGI boletín PDF</t>
        </is>
      </c>
      <c r="H11" s="84" t="inlineStr">
        <is>
          <t>https://www.inegi.org.mx/contenidos/saladeprensa/boletines/2026/imcp/imcpmi2026_08.pdf</t>
        </is>
      </c>
    </row>
    <row r="12">
      <c r="A12" s="83" t="inlineStr">
        <is>
          <t>Indicador Mensual de la Formación Bruta de Capital Fijo</t>
        </is>
      </c>
      <c r="B12" s="83" t="inlineStr">
        <is>
          <t>INEGI</t>
        </is>
      </c>
      <c r="C12" s="83" t="inlineStr">
        <is>
          <t>IMFBCF_pdf</t>
        </is>
      </c>
      <c r="D12" s="83" t="inlineStr">
        <is>
          <t>Índice base 2018=100</t>
        </is>
      </c>
      <c r="E12" s="83" t="inlineStr">
        <is>
          <t>Serie desestacionalizada; índice y variaciones oficiales del boletín del INEGI</t>
        </is>
      </c>
      <c r="F12" s="83" t="inlineStr">
        <is>
          <t>Mensual</t>
        </is>
      </c>
      <c r="G12" s="83" t="inlineStr">
        <is>
          <t>INEGI boletín PDF</t>
        </is>
      </c>
      <c r="H12" s="83" t="inlineStr">
        <is>
          <t>https://www.inegi.org.mx/contenidos/saladeprensa/boletines/2026/ifb/imfbcf2026_08.pdf</t>
        </is>
      </c>
    </row>
    <row r="13">
      <c r="A13" s="84" t="inlineStr">
        <is>
          <t>Indicador Oportuno de la Actividad Económica</t>
        </is>
      </c>
      <c r="B13" s="84" t="inlineStr">
        <is>
          <t>INEGI</t>
        </is>
      </c>
      <c r="C13" s="84" t="inlineStr">
        <is>
          <t>IOAE_pdf</t>
        </is>
      </c>
      <c r="D13" s="84" t="inlineStr">
        <is>
          <t>Variación mensual estimada (%)</t>
        </is>
      </c>
      <c r="E13" s="84" t="inlineStr">
        <is>
          <t>Serie desestacionalizada</t>
        </is>
      </c>
      <c r="F13" s="84" t="inlineStr">
        <is>
          <t>Mensual</t>
        </is>
      </c>
      <c r="G13" s="84" t="inlineStr">
        <is>
          <t>INEGI boletín PDF</t>
        </is>
      </c>
      <c r="H13" s="84" t="inlineStr">
        <is>
          <t>https://www.inegi.org.mx/contenidos/saladeprensa/boletines/2026/ioae/ioae2026_07.pdf</t>
        </is>
      </c>
    </row>
    <row r="14">
      <c r="A14" s="83" t="inlineStr">
        <is>
          <t>Encuesta Mensual de la Industria Manufacturera</t>
        </is>
      </c>
      <c r="B14" s="83" t="inlineStr">
        <is>
          <t>INEGI</t>
        </is>
      </c>
      <c r="C14" s="83" t="inlineStr">
        <is>
          <t>796224</t>
        </is>
      </c>
      <c r="D14" s="83" t="inlineStr">
        <is>
          <t>Índice base 2018=100</t>
        </is>
      </c>
      <c r="E14" s="83" t="inlineStr">
        <is>
          <t>Serie original; variación mensual desestacionalizada</t>
        </is>
      </c>
      <c r="F14" s="83" t="inlineStr">
        <is>
          <t>Mensual</t>
        </is>
      </c>
      <c r="G14" s="83" t="inlineStr">
        <is>
          <t>INEGI BIE API</t>
        </is>
      </c>
      <c r="H14" s="83" t="inlineStr">
        <is>
          <t>https://www.inegi.org.mx/app/indicadores/?tm=0&amp;t=562444#D796224</t>
        </is>
      </c>
    </row>
    <row r="15">
      <c r="A15" s="84" t="inlineStr">
        <is>
          <t>Inversión Extranjera Directa (IED)</t>
        </is>
      </c>
      <c r="B15" s="84" t="inlineStr">
        <is>
          <t>Registro Nacional de Inversiones Extranjeras (RNIE). Secretaría de Economía</t>
        </is>
      </c>
      <c r="C15" s="84" t="inlineStr">
        <is>
          <t>—</t>
        </is>
      </c>
      <c r="D15" s="84" t="inlineStr">
        <is>
          <t>Millones de dólares</t>
        </is>
      </c>
      <c r="E15" s="84" t="inlineStr">
        <is>
          <t>No aplica</t>
        </is>
      </c>
      <c r="F15" s="84" t="inlineStr">
        <is>
          <t>Trimestral</t>
        </is>
      </c>
      <c r="G15" s="84" t="inlineStr">
        <is>
          <t>Descarga oficial RNIE / DataMéxico</t>
        </is>
      </c>
      <c r="H15" s="84" t="inlineStr"/>
    </row>
    <row r="16">
      <c r="A16" s="83" t="inlineStr">
        <is>
          <t>Tipo de cambio FIX (pesos por dólar)</t>
        </is>
      </c>
      <c r="B16" s="83" t="inlineStr">
        <is>
          <t>Banco de México (SIE)</t>
        </is>
      </c>
      <c r="C16" s="83" t="inlineStr">
        <is>
          <t>SF43718</t>
        </is>
      </c>
      <c r="D16" s="83" t="inlineStr">
        <is>
          <t>Pesos por dólar</t>
        </is>
      </c>
      <c r="E16" s="83" t="inlineStr">
        <is>
          <t>No aplica</t>
        </is>
      </c>
      <c r="F16" s="83" t="inlineStr">
        <is>
          <t>Diaria-&gt;mensual</t>
        </is>
      </c>
      <c r="G16" s="83" t="inlineStr">
        <is>
          <t>Banxico SIE API</t>
        </is>
      </c>
      <c r="H16" s="83" t="inlineStr">
        <is>
          <t>https://www.banxico.org.mx/tipcamb/tipCamMIAction.do</t>
        </is>
      </c>
    </row>
    <row r="17">
      <c r="A17" s="84" t="inlineStr">
        <is>
          <t>Tasa objetivo de Banco de México</t>
        </is>
      </c>
      <c r="B17" s="84" t="inlineStr">
        <is>
          <t>Banco de México (SIE)</t>
        </is>
      </c>
      <c r="C17" s="84" t="inlineStr">
        <is>
          <t>SF61745</t>
        </is>
      </c>
      <c r="D17" s="84" t="inlineStr">
        <is>
          <t>Porcentaje anual</t>
        </is>
      </c>
      <c r="E17" s="84" t="inlineStr">
        <is>
          <t>No aplica</t>
        </is>
      </c>
      <c r="F17" s="84" t="inlineStr">
        <is>
          <t>Diaria-&gt;mensual</t>
        </is>
      </c>
      <c r="G17" s="84" t="inlineStr">
        <is>
          <t>Banxico SIE API</t>
        </is>
      </c>
      <c r="H17" s="84" t="inlineStr">
        <is>
          <t>https://www.banxico.org.mx/mercados/tasas-de-referencia.html</t>
        </is>
      </c>
    </row>
    <row r="18">
      <c r="A18" s="83" t="inlineStr">
        <is>
          <t>Reservas internacionales</t>
        </is>
      </c>
      <c r="B18" s="83" t="inlineStr">
        <is>
          <t>Banco de México (SIE)</t>
        </is>
      </c>
      <c r="C18" s="83" t="inlineStr">
        <is>
          <t>SF43707</t>
        </is>
      </c>
      <c r="D18" s="83" t="inlineStr">
        <is>
          <t>Millones de dólares</t>
        </is>
      </c>
      <c r="E18" s="83" t="inlineStr">
        <is>
          <t>No aplica</t>
        </is>
      </c>
      <c r="F18" s="83" t="inlineStr">
        <is>
          <t>Semanal-&gt;mensual</t>
        </is>
      </c>
      <c r="G18" s="83" t="inlineStr">
        <is>
          <t>Banxico SIE API</t>
        </is>
      </c>
      <c r="H18" s="83" t="inlineStr">
        <is>
          <t>https://www.banxico.org.mx/publicaciones-y-prensa/reservas-internacionales/</t>
        </is>
      </c>
    </row>
    <row r="19">
      <c r="A19" s="84" t="inlineStr">
        <is>
          <t>Confianza empresarial (EMOE)</t>
        </is>
      </c>
      <c r="B19" s="84" t="inlineStr">
        <is>
          <t>INEGI</t>
        </is>
      </c>
      <c r="C19" s="84" t="inlineStr">
        <is>
          <t>701401</t>
        </is>
      </c>
      <c r="D19" s="84" t="inlineStr">
        <is>
          <t>Puntos</t>
        </is>
      </c>
      <c r="E19" s="84" t="inlineStr">
        <is>
          <t>Serie desestacionalizada</t>
        </is>
      </c>
      <c r="F19" s="84" t="inlineStr">
        <is>
          <t>Mensual</t>
        </is>
      </c>
      <c r="G19" s="84" t="inlineStr">
        <is>
          <t>INEGI BIE API</t>
        </is>
      </c>
      <c r="H19" s="84" t="inlineStr">
        <is>
          <t>https://www.inegi.org.mx/app/indicadores/?tm=0&amp;t=682416#D701401</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27"/>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2026-08-11T03:57:12+00:00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85" t="inlineStr">
        <is>
          <t>Producto Interno Bruto</t>
        </is>
      </c>
      <c r="B5" s="85" t="inlineStr">
        <is>
          <t>principal</t>
        </is>
      </c>
      <c r="C5" s="85" t="inlineStr">
        <is>
          <t>ACTUALIZADO</t>
        </is>
      </c>
      <c r="D5" s="85" t="inlineStr">
        <is>
          <t>api</t>
        </is>
      </c>
      <c r="E5" s="85" t="inlineStr">
        <is>
          <t>INEGI</t>
        </is>
      </c>
      <c r="F5" s="85" t="inlineStr">
        <is>
          <t>Sí</t>
        </is>
      </c>
      <c r="G5" s="85" t="inlineStr">
        <is>
          <t>2T-26 P</t>
        </is>
      </c>
      <c r="H5" s="85" t="inlineStr">
        <is>
          <t>2T-26 P</t>
        </is>
      </c>
      <c r="I5" s="85" t="inlineStr">
        <is>
          <t>30 de julio de 2026</t>
        </is>
      </c>
      <c r="J5" s="85" t="inlineStr">
        <is>
          <t>30 de octubre de 2026 · 3er trimestre 2026</t>
        </is>
      </c>
      <c r="K5" s="85" t="inlineStr">
        <is>
          <t>2026-08-11</t>
        </is>
      </c>
      <c r="L5" s="85" t="inlineStr">
        <is>
          <t>2026-08-11</t>
        </is>
      </c>
      <c r="M5" s="85" t="inlineStr">
        <is>
          <t>Sí</t>
        </is>
      </c>
      <c r="N5" s="85" t="inlineStr">
        <is>
          <t>Nivel del PIB no publicado en la Estimación Oportuna del PIB Trimestral (EOPIBT) del 30 de julio de 2026. Se actualizará con el PIBT definitivo del 24 de agosto de 2026. Las variaciones (original anual 2.2%, trimestral desestacionalizada 1.5%, anual desestacionalizada 2.1%) sí están confirmadas.</t>
        </is>
      </c>
    </row>
    <row r="6">
      <c r="A6" s="83" t="inlineStr">
        <is>
          <t>Producto Interno Bruto por sector de actividad</t>
        </is>
      </c>
      <c r="B6" s="83" t="inlineStr">
        <is>
          <t>principal</t>
        </is>
      </c>
      <c r="C6" s="83" t="inlineStr">
        <is>
          <t>ACTUALIZADO</t>
        </is>
      </c>
      <c r="D6" s="83" t="inlineStr">
        <is>
          <t>api</t>
        </is>
      </c>
      <c r="E6" s="83" t="inlineStr">
        <is>
          <t>INEGI</t>
        </is>
      </c>
      <c r="F6" s="83" t="inlineStr">
        <is>
          <t>Sí</t>
        </is>
      </c>
      <c r="G6" s="83" t="inlineStr">
        <is>
          <t>1T-26 P</t>
        </is>
      </c>
      <c r="H6" s="83" t="inlineStr">
        <is>
          <t>1T-26 P</t>
        </is>
      </c>
      <c r="I6" s="83" t="inlineStr">
        <is>
          <t>Aproximadamente 50 días después de haber concluido el trimestre</t>
        </is>
      </c>
      <c r="J6" s="83" t="inlineStr">
        <is>
          <t>24 de agosto de 2026 · 2° trimestre 2026</t>
        </is>
      </c>
      <c r="K6" s="83" t="inlineStr">
        <is>
          <t>2026-08-11</t>
        </is>
      </c>
      <c r="L6" s="83" t="inlineStr">
        <is>
          <t>2026-08-11</t>
        </is>
      </c>
      <c r="M6" s="83" t="inlineStr">
        <is>
          <t>No</t>
        </is>
      </c>
      <c r="N6" s="83" t="inlineStr"/>
    </row>
    <row r="7">
      <c r="A7" s="84" t="inlineStr">
        <is>
          <t>Indicador Global de la Actividad Económica</t>
        </is>
      </c>
      <c r="B7" s="84" t="inlineStr">
        <is>
          <t>principal</t>
        </is>
      </c>
      <c r="C7" s="84" t="inlineStr">
        <is>
          <t>ACTUALIZADO</t>
        </is>
      </c>
      <c r="D7" s="84" t="inlineStr">
        <is>
          <t>api</t>
        </is>
      </c>
      <c r="E7" s="84" t="inlineStr">
        <is>
          <t>INEGI</t>
        </is>
      </c>
      <c r="F7" s="84" t="inlineStr">
        <is>
          <t>Sí</t>
        </is>
      </c>
      <c r="G7" s="84" t="inlineStr">
        <is>
          <t>May 26</t>
        </is>
      </c>
      <c r="H7" s="84" t="inlineStr">
        <is>
          <t>May 26</t>
        </is>
      </c>
      <c r="I7" s="84" t="inlineStr">
        <is>
          <t>23 de julio de 2026</t>
        </is>
      </c>
      <c r="J7" s="84" t="inlineStr">
        <is>
          <t>24 de agosto de 2026 · Junio 2026</t>
        </is>
      </c>
      <c r="K7" s="84" t="inlineStr">
        <is>
          <t>2026-08-11</t>
        </is>
      </c>
      <c r="L7" s="84" t="inlineStr">
        <is>
          <t>2026-08-11</t>
        </is>
      </c>
      <c r="M7" s="84" t="inlineStr">
        <is>
          <t>No</t>
        </is>
      </c>
      <c r="N7" s="84" t="inlineStr"/>
    </row>
    <row r="8">
      <c r="A8" s="83" t="inlineStr">
        <is>
          <t>Indicador Mensual de la Actividad Industrial</t>
        </is>
      </c>
      <c r="B8" s="83" t="inlineStr">
        <is>
          <t>principal</t>
        </is>
      </c>
      <c r="C8" s="83" t="inlineStr">
        <is>
          <t>REZAGADO</t>
        </is>
      </c>
      <c r="D8" s="83" t="inlineStr">
        <is>
          <t>api</t>
        </is>
      </c>
      <c r="E8" s="83" t="inlineStr">
        <is>
          <t>INEGI</t>
        </is>
      </c>
      <c r="F8" s="83" t="inlineStr">
        <is>
          <t>Sí</t>
        </is>
      </c>
      <c r="G8" s="83" t="inlineStr">
        <is>
          <t>May 26</t>
        </is>
      </c>
      <c r="H8" s="83" t="inlineStr">
        <is>
          <t>May 26</t>
        </is>
      </c>
      <c r="I8" s="83" t="inlineStr">
        <is>
          <t>11 de agosto de 2026</t>
        </is>
      </c>
      <c r="J8" s="83" t="inlineStr">
        <is>
          <t>11 de septiembre de 2026 · Julio 2026</t>
        </is>
      </c>
      <c r="K8" s="83" t="inlineStr">
        <is>
          <t>2026-08-11</t>
        </is>
      </c>
      <c r="L8" s="83" t="inlineStr">
        <is>
          <t>2026-08-11</t>
        </is>
      </c>
      <c r="M8" s="83" t="inlineStr">
        <is>
          <t>No</t>
        </is>
      </c>
      <c r="N8" s="83" t="inlineStr"/>
    </row>
    <row r="9">
      <c r="A9" s="84" t="inlineStr">
        <is>
          <t>Balanza Comercial de Mercancías de México</t>
        </is>
      </c>
      <c r="B9" s="84" t="inlineStr">
        <is>
          <t>principal</t>
        </is>
      </c>
      <c r="C9" s="84" t="inlineStr">
        <is>
          <t>ACTUALIZADO</t>
        </is>
      </c>
      <c r="D9" s="84" t="inlineStr">
        <is>
          <t>api</t>
        </is>
      </c>
      <c r="E9" s="84" t="inlineStr">
        <is>
          <t>INEGI</t>
        </is>
      </c>
      <c r="F9" s="84" t="inlineStr">
        <is>
          <t>Sí</t>
        </is>
      </c>
      <c r="G9" s="84" t="inlineStr">
        <is>
          <t>Jun 26</t>
        </is>
      </c>
      <c r="H9" s="84" t="inlineStr">
        <is>
          <t>Jun 26</t>
        </is>
      </c>
      <c r="I9" s="84" t="inlineStr">
        <is>
          <t>27 de julio de 2026</t>
        </is>
      </c>
      <c r="J9" s="84" t="inlineStr">
        <is>
          <t>27 de agosto de 2026 · Julio 2026</t>
        </is>
      </c>
      <c r="K9" s="84" t="inlineStr">
        <is>
          <t>2026-08-11</t>
        </is>
      </c>
      <c r="L9" s="84" t="inlineStr">
        <is>
          <t>2026-08-11</t>
        </is>
      </c>
      <c r="M9" s="84" t="inlineStr">
        <is>
          <t>No</t>
        </is>
      </c>
      <c r="N9" s="84" t="inlineStr"/>
    </row>
    <row r="10">
      <c r="A10" s="83" t="inlineStr">
        <is>
          <t>Tasa de desocupación</t>
        </is>
      </c>
      <c r="B10" s="83" t="inlineStr">
        <is>
          <t>principal</t>
        </is>
      </c>
      <c r="C10" s="83" t="inlineStr">
        <is>
          <t>ACTUALIZADO</t>
        </is>
      </c>
      <c r="D10" s="83" t="inlineStr">
        <is>
          <t>api</t>
        </is>
      </c>
      <c r="E10" s="83" t="inlineStr">
        <is>
          <t>INEGI</t>
        </is>
      </c>
      <c r="F10" s="83" t="inlineStr">
        <is>
          <t>Sí</t>
        </is>
      </c>
      <c r="G10" s="83" t="inlineStr">
        <is>
          <t>Jun 26</t>
        </is>
      </c>
      <c r="H10" s="83" t="inlineStr">
        <is>
          <t>Jun 26</t>
        </is>
      </c>
      <c r="I10" s="83" t="inlineStr">
        <is>
          <t>24 de julio de 2026</t>
        </is>
      </c>
      <c r="J10" s="83" t="inlineStr">
        <is>
          <t>25 de agosto de 2026 · Julio 2026</t>
        </is>
      </c>
      <c r="K10" s="83" t="inlineStr">
        <is>
          <t>2026-08-11</t>
        </is>
      </c>
      <c r="L10" s="83" t="inlineStr">
        <is>
          <t>2026-08-11</t>
        </is>
      </c>
      <c r="M10" s="83" t="inlineStr">
        <is>
          <t>No</t>
        </is>
      </c>
      <c r="N10" s="83" t="inlineStr"/>
    </row>
    <row r="11">
      <c r="A11" s="84" t="inlineStr">
        <is>
          <t>Índice de Precios al Consumidor</t>
        </is>
      </c>
      <c r="B11" s="84" t="inlineStr">
        <is>
          <t>principal</t>
        </is>
      </c>
      <c r="C11" s="84" t="inlineStr">
        <is>
          <t>ACTUALIZADO</t>
        </is>
      </c>
      <c r="D11" s="84" t="inlineStr">
        <is>
          <t>api</t>
        </is>
      </c>
      <c r="E11" s="84" t="inlineStr">
        <is>
          <t>INEGI</t>
        </is>
      </c>
      <c r="F11" s="84" t="inlineStr">
        <is>
          <t>Sí</t>
        </is>
      </c>
      <c r="G11" s="84" t="inlineStr">
        <is>
          <t>Jul 26</t>
        </is>
      </c>
      <c r="H11" s="84" t="inlineStr">
        <is>
          <t>Jul 26</t>
        </is>
      </c>
      <c r="I11" s="84" t="inlineStr">
        <is>
          <t>07 de agosto de 2026</t>
        </is>
      </c>
      <c r="J11" s="84" t="inlineStr">
        <is>
          <t>09 de septiembre de 2026 · Agosto 2026</t>
        </is>
      </c>
      <c r="K11" s="84" t="inlineStr">
        <is>
          <t>2026-08-11</t>
        </is>
      </c>
      <c r="L11" s="84" t="inlineStr">
        <is>
          <t>2026-08-11</t>
        </is>
      </c>
      <c r="M11" s="84" t="inlineStr">
        <is>
          <t>No</t>
        </is>
      </c>
      <c r="N11" s="84" t="inlineStr"/>
    </row>
    <row r="12">
      <c r="A12" s="83" t="inlineStr">
        <is>
          <t>Indicador mensual del consumo privado</t>
        </is>
      </c>
      <c r="B12" s="83" t="inlineStr">
        <is>
          <t>principal</t>
        </is>
      </c>
      <c r="C12" s="83" t="inlineStr">
        <is>
          <t>ACTUALIZADO</t>
        </is>
      </c>
      <c r="D12" s="83" t="inlineStr">
        <is>
          <t>api</t>
        </is>
      </c>
      <c r="E12" s="83" t="inlineStr">
        <is>
          <t>INEGI</t>
        </is>
      </c>
      <c r="F12" s="83" t="inlineStr">
        <is>
          <t>Sí</t>
        </is>
      </c>
      <c r="G12" s="83" t="inlineStr">
        <is>
          <t>May 26</t>
        </is>
      </c>
      <c r="H12" s="83" t="inlineStr">
        <is>
          <t>May 26</t>
        </is>
      </c>
      <c r="I12" s="83" t="inlineStr">
        <is>
          <t>05 de agosto de 2026</t>
        </is>
      </c>
      <c r="J12" s="83" t="inlineStr">
        <is>
          <t>04 de septiembre de 2026 · Junio 2026</t>
        </is>
      </c>
      <c r="K12" s="83" t="inlineStr">
        <is>
          <t>2026-08-10</t>
        </is>
      </c>
      <c r="L12" s="83" t="inlineStr">
        <is>
          <t>2026-08-10</t>
        </is>
      </c>
      <c r="M12" s="83" t="inlineStr">
        <is>
          <t>No</t>
        </is>
      </c>
      <c r="N12" s="83" t="inlineStr"/>
    </row>
    <row r="13">
      <c r="A13" s="84" t="inlineStr">
        <is>
          <t>Indicador Mensual de la Formación Bruta de Capital Fijo</t>
        </is>
      </c>
      <c r="B13" s="84" t="inlineStr">
        <is>
          <t>principal</t>
        </is>
      </c>
      <c r="C13" s="84" t="inlineStr">
        <is>
          <t>ACTUALIZADO</t>
        </is>
      </c>
      <c r="D13" s="84" t="inlineStr">
        <is>
          <t>api</t>
        </is>
      </c>
      <c r="E13" s="84" t="inlineStr">
        <is>
          <t>INEGI</t>
        </is>
      </c>
      <c r="F13" s="84" t="inlineStr">
        <is>
          <t>Sí</t>
        </is>
      </c>
      <c r="G13" s="84" t="inlineStr">
        <is>
          <t>May 26</t>
        </is>
      </c>
      <c r="H13" s="84" t="inlineStr">
        <is>
          <t>May 26</t>
        </is>
      </c>
      <c r="I13" s="84" t="inlineStr">
        <is>
          <t>05 de agosto de 2026</t>
        </is>
      </c>
      <c r="J13" s="84" t="inlineStr">
        <is>
          <t>04 de septiembre de 2026 · Junio 2026</t>
        </is>
      </c>
      <c r="K13" s="84" t="inlineStr">
        <is>
          <t>2026-08-10</t>
        </is>
      </c>
      <c r="L13" s="84" t="inlineStr">
        <is>
          <t>2026-08-10</t>
        </is>
      </c>
      <c r="M13" s="84" t="inlineStr">
        <is>
          <t>No</t>
        </is>
      </c>
      <c r="N13" s="84" t="inlineStr"/>
    </row>
    <row r="14">
      <c r="A14" s="83" t="inlineStr">
        <is>
          <t>Indicador Oportuno de la Actividad Económica</t>
        </is>
      </c>
      <c r="B14" s="83" t="inlineStr">
        <is>
          <t>principal</t>
        </is>
      </c>
      <c r="C14" s="83" t="inlineStr">
        <is>
          <t>ACTUALIZADO</t>
        </is>
      </c>
      <c r="D14" s="83" t="inlineStr">
        <is>
          <t>api</t>
        </is>
      </c>
      <c r="E14" s="83" t="inlineStr">
        <is>
          <t>INEGI</t>
        </is>
      </c>
      <c r="F14" s="83" t="inlineStr">
        <is>
          <t>Sí</t>
        </is>
      </c>
      <c r="G14" s="83" t="inlineStr">
        <is>
          <t>Jun 26</t>
        </is>
      </c>
      <c r="H14" s="83" t="inlineStr">
        <is>
          <t>Jun 26</t>
        </is>
      </c>
      <c r="I14" s="83" t="inlineStr">
        <is>
          <t>21 de julio de 2026</t>
        </is>
      </c>
      <c r="J14" s="83" t="inlineStr">
        <is>
          <t>20 de agosto de 2026 · Julio 2026</t>
        </is>
      </c>
      <c r="K14" s="83" t="inlineStr">
        <is>
          <t>2026-08-10</t>
        </is>
      </c>
      <c r="L14" s="83" t="inlineStr">
        <is>
          <t>2026-08-10</t>
        </is>
      </c>
      <c r="M14" s="83" t="inlineStr">
        <is>
          <t>No</t>
        </is>
      </c>
      <c r="N14" s="83" t="inlineStr"/>
    </row>
    <row r="15">
      <c r="A15" s="84" t="inlineStr">
        <is>
          <t>Encuesta Mensual de la Industria Manufacturera</t>
        </is>
      </c>
      <c r="B15" s="84" t="inlineStr">
        <is>
          <t>principal</t>
        </is>
      </c>
      <c r="C15" s="84" t="inlineStr">
        <is>
          <t>ACTUALIZADO</t>
        </is>
      </c>
      <c r="D15" s="84" t="inlineStr">
        <is>
          <t>api</t>
        </is>
      </c>
      <c r="E15" s="84" t="inlineStr">
        <is>
          <t>INEGI</t>
        </is>
      </c>
      <c r="F15" s="84" t="inlineStr">
        <is>
          <t>Sí</t>
        </is>
      </c>
      <c r="G15" s="84" t="inlineStr">
        <is>
          <t>May 26</t>
        </is>
      </c>
      <c r="H15" s="84" t="inlineStr">
        <is>
          <t>May 26</t>
        </is>
      </c>
      <c r="I15" s="84" t="inlineStr">
        <is>
          <t>16 de julio de 2026</t>
        </is>
      </c>
      <c r="J15" s="84" t="inlineStr">
        <is>
          <t>17 de agosto de 2026 · Junio 2026</t>
        </is>
      </c>
      <c r="K15" s="84" t="inlineStr">
        <is>
          <t>2026-08-11</t>
        </is>
      </c>
      <c r="L15" s="84" t="inlineStr">
        <is>
          <t>2026-08-11</t>
        </is>
      </c>
      <c r="M15" s="84" t="inlineStr">
        <is>
          <t>No</t>
        </is>
      </c>
      <c r="N15" s="84" t="inlineStr"/>
    </row>
    <row r="16">
      <c r="A16" s="83" t="inlineStr">
        <is>
          <t>Inversión Extranjera Directa (IED)</t>
        </is>
      </c>
      <c r="B16" s="83" t="inlineStr">
        <is>
          <t>complementario</t>
        </is>
      </c>
      <c r="C16" s="83" t="inlineStr">
        <is>
          <t>ACTUALIZADO</t>
        </is>
      </c>
      <c r="D16" s="83" t="inlineStr">
        <is>
          <t>respaldo</t>
        </is>
      </c>
      <c r="E16" s="83" t="inlineStr">
        <is>
          <t>—</t>
        </is>
      </c>
      <c r="F16" s="83" t="inlineStr">
        <is>
          <t>No</t>
        </is>
      </c>
      <c r="G16" s="83" t="inlineStr">
        <is>
          <t>1T-26</t>
        </is>
      </c>
      <c r="H16" s="83" t="inlineStr">
        <is>
          <t>1T-26</t>
        </is>
      </c>
      <c r="I16" s="83" t="inlineStr">
        <is>
          <t>Aproximadamente 45 días posteriores al cierre del trimestre</t>
        </is>
      </c>
      <c r="J16" s="83" t="inlineStr">
        <is>
          <t>—</t>
        </is>
      </c>
      <c r="K16" s="83" t="inlineStr">
        <is>
          <t>2026-07-16</t>
        </is>
      </c>
      <c r="L16" s="83" t="inlineStr">
        <is>
          <t>2026-07-16</t>
        </is>
      </c>
      <c r="M16" s="83" t="inlineStr">
        <is>
          <t>No</t>
        </is>
      </c>
      <c r="N16" s="83" t="inlineStr"/>
    </row>
    <row r="17">
      <c r="A17" s="84" t="inlineStr">
        <is>
          <t>Tipo de cambio FIX (pesos por dólar)</t>
        </is>
      </c>
      <c r="B17" s="84" t="inlineStr">
        <is>
          <t>complementario</t>
        </is>
      </c>
      <c r="C17" s="84" t="inlineStr">
        <is>
          <t>ACTUALIZADO</t>
        </is>
      </c>
      <c r="D17" s="84" t="inlineStr">
        <is>
          <t>api</t>
        </is>
      </c>
      <c r="E17" s="84" t="inlineStr">
        <is>
          <t>BANXICO</t>
        </is>
      </c>
      <c r="F17" s="84" t="inlineStr">
        <is>
          <t>Sí</t>
        </is>
      </c>
      <c r="G17" s="84" t="inlineStr">
        <is>
          <t>Jul 26</t>
        </is>
      </c>
      <c r="H17" s="84" t="inlineStr">
        <is>
          <t>Jul 26</t>
        </is>
      </c>
      <c r="I17" s="84" t="inlineStr">
        <is>
          <t>Días hábiles</t>
        </is>
      </c>
      <c r="J17" s="84" t="inlineStr">
        <is>
          <t>—</t>
        </is>
      </c>
      <c r="K17" s="84" t="inlineStr">
        <is>
          <t>2026-08-11</t>
        </is>
      </c>
      <c r="L17" s="84" t="inlineStr">
        <is>
          <t>2026-08-11</t>
        </is>
      </c>
      <c r="M17" s="84" t="inlineStr">
        <is>
          <t>No</t>
        </is>
      </c>
      <c r="N17" s="84" t="inlineStr"/>
    </row>
    <row r="18">
      <c r="A18" s="83" t="inlineStr">
        <is>
          <t>Tasa objetivo de Banco de México</t>
        </is>
      </c>
      <c r="B18" s="83" t="inlineStr">
        <is>
          <t>complementario</t>
        </is>
      </c>
      <c r="C18" s="83" t="inlineStr">
        <is>
          <t>ACTUALIZADO</t>
        </is>
      </c>
      <c r="D18" s="83" t="inlineStr">
        <is>
          <t>api</t>
        </is>
      </c>
      <c r="E18" s="83" t="inlineStr">
        <is>
          <t>BANXICO</t>
        </is>
      </c>
      <c r="F18" s="83" t="inlineStr">
        <is>
          <t>Sí</t>
        </is>
      </c>
      <c r="G18" s="83" t="inlineStr">
        <is>
          <t>Jul 26</t>
        </is>
      </c>
      <c r="H18" s="83" t="inlineStr">
        <is>
          <t>Jul 26</t>
        </is>
      </c>
      <c r="I18" s="83" t="inlineStr">
        <is>
          <t>Días de anuncio de política monetaria</t>
        </is>
      </c>
      <c r="J18" s="83" t="inlineStr">
        <is>
          <t>—</t>
        </is>
      </c>
      <c r="K18" s="83" t="inlineStr">
        <is>
          <t>2026-08-11</t>
        </is>
      </c>
      <c r="L18" s="83" t="inlineStr">
        <is>
          <t>2026-08-11</t>
        </is>
      </c>
      <c r="M18" s="83" t="inlineStr">
        <is>
          <t>No</t>
        </is>
      </c>
      <c r="N18" s="83" t="inlineStr"/>
    </row>
    <row r="19">
      <c r="A19" s="84" t="inlineStr">
        <is>
          <t>Reservas internacionales</t>
        </is>
      </c>
      <c r="B19" s="84" t="inlineStr">
        <is>
          <t>complementario</t>
        </is>
      </c>
      <c r="C19" s="84" t="inlineStr">
        <is>
          <t>ACTUALIZADO</t>
        </is>
      </c>
      <c r="D19" s="84" t="inlineStr">
        <is>
          <t>api</t>
        </is>
      </c>
      <c r="E19" s="84" t="inlineStr">
        <is>
          <t>BANXICO</t>
        </is>
      </c>
      <c r="F19" s="84" t="inlineStr">
        <is>
          <t>Sí</t>
        </is>
      </c>
      <c r="G19" s="84" t="inlineStr">
        <is>
          <t>Jul 26</t>
        </is>
      </c>
      <c r="H19" s="84" t="inlineStr">
        <is>
          <t>Jul 26</t>
        </is>
      </c>
      <c r="I19" s="84" t="inlineStr">
        <is>
          <t>Semanal (martes)</t>
        </is>
      </c>
      <c r="J19" s="84" t="inlineStr">
        <is>
          <t>—</t>
        </is>
      </c>
      <c r="K19" s="84" t="inlineStr">
        <is>
          <t>2026-08-11</t>
        </is>
      </c>
      <c r="L19" s="84" t="inlineStr">
        <is>
          <t>2026-08-11</t>
        </is>
      </c>
      <c r="M19" s="84" t="inlineStr">
        <is>
          <t>No</t>
        </is>
      </c>
      <c r="N19" s="84" t="inlineStr"/>
    </row>
    <row r="20">
      <c r="A20" s="83" t="inlineStr">
        <is>
          <t>Confianza empresarial (EMOE)</t>
        </is>
      </c>
      <c r="B20" s="83" t="inlineStr">
        <is>
          <t>complementario</t>
        </is>
      </c>
      <c r="C20" s="83" t="inlineStr">
        <is>
          <t>ACTUALIZADO</t>
        </is>
      </c>
      <c r="D20" s="83" t="inlineStr">
        <is>
          <t>api</t>
        </is>
      </c>
      <c r="E20" s="83" t="inlineStr">
        <is>
          <t>INEGI</t>
        </is>
      </c>
      <c r="F20" s="83" t="inlineStr">
        <is>
          <t>Sí</t>
        </is>
      </c>
      <c r="G20" s="83" t="inlineStr">
        <is>
          <t>Jul 26</t>
        </is>
      </c>
      <c r="H20" s="83" t="inlineStr">
        <is>
          <t>Jul 26</t>
        </is>
      </c>
      <c r="I20" s="83" t="inlineStr">
        <is>
          <t>3 de agosto de 2026</t>
        </is>
      </c>
      <c r="J20" s="83" t="inlineStr">
        <is>
          <t>1 de septiembre de 2026 · Agosto 2026</t>
        </is>
      </c>
      <c r="K20" s="83" t="inlineStr">
        <is>
          <t>2026-08-11</t>
        </is>
      </c>
      <c r="L20" s="83" t="inlineStr">
        <is>
          <t>2026-08-11</t>
        </is>
      </c>
      <c r="M20" s="83" t="inlineStr">
        <is>
          <t>No</t>
        </is>
      </c>
      <c r="N20" s="83" t="inlineStr"/>
    </row>
    <row r="23">
      <c r="A23" s="86" t="inlineStr">
        <is>
          <t>Advertencias del pipeline:</t>
        </is>
      </c>
    </row>
    <row r="24">
      <c r="A24" s="62" t="inlineStr">
        <is>
          <t>• IMAI: REZAGADO – El periodo esperado es Junio 2026, pero el dashboard aún muestra May 26.</t>
        </is>
      </c>
    </row>
    <row r="25">
      <c r="A25" s="62" t="inlineStr">
        <is>
          <t>• [PIB] el último dato de la serie primaria es nulo.</t>
        </is>
      </c>
    </row>
    <row r="26">
      <c r="A26" s="62" t="inlineStr">
        <is>
          <t>• [IMAI] valor fuera de rango plausible en Abr 20: 69.864321 (esperado (70, 130)).</t>
        </is>
      </c>
    </row>
    <row r="27">
      <c r="A27" s="62" t="inlineStr">
        <is>
          <t>• [IMAI] valor fuera de rango plausible en May 20: 69.771418 (esperado (70, 130)).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José Miguel Echave Bastidas</dc:creator>
  <dcterms:created xmlns:dcterms="http://purl.org/dc/terms/" xmlns:xsi="http://www.w3.org/2001/XMLSchema-instance" xsi:type="dcterms:W3CDTF">2026-06-10T00:22:34Z</dcterms:created>
  <dcterms:modified xmlns:dcterms="http://purl.org/dc/terms/" xmlns:xsi="http://www.w3.org/2001/XMLSchema-instance" xsi:type="dcterms:W3CDTF">2026-08-11T03:57:13Z</dcterms:modified>
  <cp:lastModifiedBy>José Miguel Echave Bastidas</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0x0101006B0653BA58BCE848972AE9BEE44246A5</vt:lpwstr>
  </property>
</Properties>
</file>